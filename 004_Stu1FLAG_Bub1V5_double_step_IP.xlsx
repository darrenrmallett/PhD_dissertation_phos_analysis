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mc:AlternateContent xmlns:mc="http://schemas.openxmlformats.org/markup-compatibility/2006">
    <mc:Choice Requires="x15">
      <x15ac:absPath xmlns:x15ac="http://schemas.microsoft.com/office/spreadsheetml/2010/11/ac" url="/Users/darrenrmallett/Dropbox/Graduate School/Biggins Lab - Main/Mass Spec data/Experiment 3.17 - Stu1-Bub1 double step IP/"/>
    </mc:Choice>
  </mc:AlternateContent>
  <xr:revisionPtr revIDLastSave="0" documentId="13_ncr:1_{3B2B61AB-6DDE-084B-8F77-6A927E23CAF7}" xr6:coauthVersionLast="46" xr6:coauthVersionMax="47" xr10:uidLastSave="{00000000-0000-0000-0000-000000000000}"/>
  <bookViews>
    <workbookView xWindow="0" yWindow="500" windowWidth="32900" windowHeight="19620" activeTab="1" xr2:uid="{00000000-000D-0000-FFFF-FFFF00000000}"/>
  </bookViews>
  <sheets>
    <sheet name="Proteins &amp; Peptides" sheetId="1" r:id="rId1"/>
    <sheet name="visual data" sheetId="5" r:id="rId2"/>
    <sheet name="Phospho Peptides" sheetId="4" r:id="rId3"/>
    <sheet name="Processing" sheetId="2" r:id="rId4"/>
    <sheet name="Consensus" sheetId="3"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29" i="2"/>
  <c r="A36" i="2"/>
  <c r="A37" i="2"/>
  <c r="A43" i="2"/>
  <c r="A45" i="2"/>
  <c r="A60" i="2"/>
  <c r="A63" i="2"/>
  <c r="A69" i="2"/>
  <c r="A70" i="2"/>
  <c r="A71" i="2"/>
  <c r="A72" i="2"/>
  <c r="A86" i="2"/>
  <c r="A126" i="2"/>
  <c r="A127" i="2"/>
  <c r="A146" i="2"/>
  <c r="A55" i="3"/>
  <c r="A27" i="2"/>
</calcChain>
</file>

<file path=xl/sharedStrings.xml><?xml version="1.0" encoding="utf-8"?>
<sst xmlns="http://schemas.openxmlformats.org/spreadsheetml/2006/main" count="4615" uniqueCount="1332">
  <si>
    <t>Master</t>
  </si>
  <si>
    <t>Accession</t>
  </si>
  <si>
    <t>Description</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</si>
  <si>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</si>
  <si>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</si>
  <si>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</si>
  <si>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</si>
  <si>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</si>
  <si>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</si>
  <si>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</si>
  <si>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</si>
  <si>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</si>
  <si>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</si>
  <si>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</si>
  <si>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</si>
  <si>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</si>
  <si>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</si>
  <si>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</si>
  <si>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Gene Symbol</t>
  </si>
  <si>
    <t>Gene ID</t>
  </si>
  <si>
    <t>Reactome Pathways</t>
  </si>
  <si>
    <t>Ensembl Gene ID</t>
  </si>
  <si>
    <t>WikiPathways</t>
  </si>
  <si>
    <t># Protein Pathway Groups</t>
  </si>
  <si>
    <t>Found in Sample: [S1] F1: Sample</t>
  </si>
  <si>
    <t># Protein Groups</t>
  </si>
  <si>
    <t>Modifications</t>
  </si>
  <si>
    <t>Master Protein</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</si>
  <si>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</si>
  <si>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</si>
  <si>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</si>
  <si>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cytoskeleton;nucleus;other cell component</t>
  </si>
  <si>
    <t>other molecular function</t>
  </si>
  <si>
    <t>Pf05557</t>
  </si>
  <si>
    <t>852794</t>
  </si>
  <si>
    <t>MAD1</t>
  </si>
  <si>
    <t>D6VU58; N1P9Q2; P40957; sce:YGL086W; YGL086W</t>
  </si>
  <si>
    <t/>
  </si>
  <si>
    <t>High</t>
  </si>
  <si>
    <t>Phospho [T240(100)]</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</si>
  <si>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</si>
  <si>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</si>
  <si>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</si>
  <si>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</si>
  <si>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</si>
  <si>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</si>
  <si>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</si>
  <si>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</si>
  <si>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</si>
  <si>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</si>
  <si>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</si>
  <si>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</si>
  <si>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</si>
  <si>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</si>
  <si>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[R].DGPFIKDQFIK.[K]</t>
  </si>
  <si>
    <t>YGL086W [587-597]</t>
  </si>
  <si>
    <t>[K].DLEMETLR.[Q]</t>
  </si>
  <si>
    <t>1xOxidation [M4]</t>
  </si>
  <si>
    <t>YGL086W [153-160]</t>
  </si>
  <si>
    <t>[K].DLQHQVMEKDDELSSVK.[A]</t>
  </si>
  <si>
    <t>1xOxidation [M7]</t>
  </si>
  <si>
    <t>YGL086W [204-220]</t>
  </si>
  <si>
    <t>[K].ELELANMQQANELK.[K]</t>
  </si>
  <si>
    <t>YGL086W [255-268]</t>
  </si>
  <si>
    <t>[K].ELELANMQQANELKK.[L]</t>
  </si>
  <si>
    <t>YGL086W [255-269]</t>
  </si>
  <si>
    <t>[K].ENADLLNELKK.[N]</t>
  </si>
  <si>
    <t>YGL086W [607-617]</t>
  </si>
  <si>
    <t>[R].EQLDGLYSAQNNALLEVENSETHASNK.[N]</t>
  </si>
  <si>
    <t>YGL086W [455-481]</t>
  </si>
  <si>
    <t>[K].KLNDQLLSNSNDVETQR.[K]</t>
  </si>
  <si>
    <t>YGL086W [507-523]</t>
  </si>
  <si>
    <t>[R].KLTSDQIGLNYSQR.[L]</t>
  </si>
  <si>
    <t>YGL086W [527-540]</t>
  </si>
  <si>
    <t>[K].LLLLEKENADLLNELKK.[N]</t>
  </si>
  <si>
    <t>YGL086W [601-617]</t>
  </si>
  <si>
    <t>[K].LLNDEMALER.[N]</t>
  </si>
  <si>
    <t>1xOxidation [M6]</t>
  </si>
  <si>
    <t>YGL086W [406-415]</t>
  </si>
  <si>
    <t>[K].LNDQLLSNSNDVETQR.[K]</t>
  </si>
  <si>
    <t>YGL086W [508-523]</t>
  </si>
  <si>
    <t>[R].LNELQLENVSVSR.[E]</t>
  </si>
  <si>
    <t>YGL086W [541-553]</t>
  </si>
  <si>
    <t>[K].LNTLQNEYEIEK.[L]</t>
  </si>
  <si>
    <t>YGL086W [71-82]</t>
  </si>
  <si>
    <t>[K].LSQLHVLESQYENLQLENIDLK.[S]</t>
  </si>
  <si>
    <t>YGL086W [291-312]</t>
  </si>
  <si>
    <t>[K].MINSHPNYSTEEFNELTEMNK.[M]</t>
  </si>
  <si>
    <t>2xOxidation [M1; M19]</t>
  </si>
  <si>
    <t>YGL086W [224-244]</t>
  </si>
  <si>
    <t>2xOxidation [M1; M19]; 1xPhospho [T17(100)]</t>
  </si>
  <si>
    <t>YGL086W 1xPhospho [T240(100)]</t>
  </si>
  <si>
    <t>[K].MIQDQVQYTK.[E]</t>
  </si>
  <si>
    <t>1xOxidation [M1]</t>
  </si>
  <si>
    <t>YGL086W [245-254]</t>
  </si>
  <si>
    <t>[K].NNPAVETVPISVYDSLNFELK.[Q]</t>
  </si>
  <si>
    <t>YGL086W [618-638]</t>
  </si>
  <si>
    <t>[R].NNPEEIIR.[D]</t>
  </si>
  <si>
    <t>YGL086W [371-378]</t>
  </si>
  <si>
    <t>[R].NQILDLNK.[N]</t>
  </si>
  <si>
    <t>YGL086W [416-423]</t>
  </si>
  <si>
    <t>[K].NVNEDMNNLIDTYK.[N]</t>
  </si>
  <si>
    <t>YGL086W [482-495]</t>
  </si>
  <si>
    <t>[K].NYENNIVNLK.[R]</t>
  </si>
  <si>
    <t>YGL086W [424-433]</t>
  </si>
  <si>
    <t>[K].QFEQEVFK.[S]</t>
  </si>
  <si>
    <t>YGL086W [639-646]</t>
  </si>
  <si>
    <t>[R].QIQALQFK.[L]</t>
  </si>
  <si>
    <t>YGL086W [63-70]</t>
  </si>
  <si>
    <t>[K].QTNILEK.[K]</t>
  </si>
  <si>
    <t>YGL086W [88-94]</t>
  </si>
  <si>
    <t>[K].SNLDADIEGWDDLMNLWVEDR.[G]</t>
  </si>
  <si>
    <t>1xOxidation [M14]</t>
  </si>
  <si>
    <t>YGL086W [708-728]</t>
  </si>
  <si>
    <t>[K].YLIADLNENTLK.[S]</t>
  </si>
  <si>
    <t>YGL086W [696-707]</t>
  </si>
  <si>
    <t>[K].YLYESNDKLEQELK.[S]</t>
  </si>
  <si>
    <t>YGL086W [112-125]</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</si>
  <si>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</si>
  <si>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</si>
  <si>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cell cycle OR cell proliferation;cell organization and biogenesis;other biological processes</t>
  </si>
  <si>
    <t>cytoskeletal activity;other molecular function</t>
  </si>
  <si>
    <t>Pf12348</t>
  </si>
  <si>
    <t>852246</t>
  </si>
  <si>
    <t>STU1</t>
  </si>
  <si>
    <t>D6VPW5; N1P8Z8; P38198; sce:YBL034C; YBL034C</t>
  </si>
  <si>
    <t>Phospho [S1113(96.3)]</t>
  </si>
  <si>
    <t>[K].ATELAIPAHLNINYQVSR.[V]</t>
  </si>
  <si>
    <t>YBL034C [558-575]</t>
  </si>
  <si>
    <t>[K].DANFKVEDIISR.[E]</t>
  </si>
  <si>
    <t>YBL034C [987-998]</t>
  </si>
  <si>
    <t>[K].DNPEEFVTVIK.[E]</t>
  </si>
  <si>
    <t>YBL034C [360-370]</t>
  </si>
  <si>
    <t>[R].DVALTEQDINSK.[K]</t>
  </si>
  <si>
    <t>YBL034C [1190-1201]</t>
  </si>
  <si>
    <t>[R].ESSVSFTPIDNK.[K]</t>
  </si>
  <si>
    <t>YBL034C [999-1010]</t>
  </si>
  <si>
    <t>[K].EVQLIELISR.[A]</t>
  </si>
  <si>
    <t>YBL034C [371-380]</t>
  </si>
  <si>
    <t>[K].FLNTLSENADDDGVSVR.[M]</t>
  </si>
  <si>
    <t>YBL034C [1339-1355]</t>
  </si>
  <si>
    <t>[K].KATELAIPAHLNINYQVSR.[V]</t>
  </si>
  <si>
    <t>YBL034C [557-575]</t>
  </si>
  <si>
    <t>[K].LLADFDIVSTK.[M]</t>
  </si>
  <si>
    <t>YBL034C [966-976]</t>
  </si>
  <si>
    <t>[K].IINEPEK.[L]</t>
  </si>
  <si>
    <t>YBL034C [1144-1150]</t>
  </si>
  <si>
    <t>[R].LLSSSFSPQLK.[K]</t>
  </si>
  <si>
    <t>YBL034C [546-556]</t>
  </si>
  <si>
    <t>[K].LPQLSNNLSSK.[D]</t>
  </si>
  <si>
    <t>YBL034C [294-304]</t>
  </si>
  <si>
    <t>[K].LPQLSNNLSSKDPAMK.[K]</t>
  </si>
  <si>
    <t>1xOxidation [M15]</t>
  </si>
  <si>
    <t>YBL034C [294-309]</t>
  </si>
  <si>
    <t>[K].LPQLSNNLSSKDPAMKK.[N]</t>
  </si>
  <si>
    <t>YBL034C [294-310]</t>
  </si>
  <si>
    <t>[K].IVSVYQLDQPNPAKEEDDIDMENSQK.[S]</t>
  </si>
  <si>
    <t>1xOxidation [M21]</t>
  </si>
  <si>
    <t>YBL034C [1082-1107]</t>
  </si>
  <si>
    <t>[K].MDDENSQDLIDGFINDLEVEK.[F]</t>
  </si>
  <si>
    <t>YBL034C [234-254]</t>
  </si>
  <si>
    <t>[K].MHLLIMDNFPR.[D]</t>
  </si>
  <si>
    <t>2xOxidation [M1; M6]</t>
  </si>
  <si>
    <t>YBL034C [1214-1224]</t>
  </si>
  <si>
    <t>[K].NYESLNQLQQDLENLLAPFQSVK.[E]</t>
  </si>
  <si>
    <t>YBL034C [311-333]</t>
  </si>
  <si>
    <t>[R].NYPSYAQPTQSSSTSLLNAPAVTAGGSVIASK.[L]</t>
  </si>
  <si>
    <t>YBL034C [609-640]</t>
  </si>
  <si>
    <t>[R].NYPSYAQPTQSSSTSLLNAPAVTAGGSVIASKLSNKLK.[T]</t>
  </si>
  <si>
    <t>YBL034C [609-646]</t>
  </si>
  <si>
    <t>[R].QSNIIELDNIISGNIPK.[D]</t>
  </si>
  <si>
    <t>YBL034C [343-359]</t>
  </si>
  <si>
    <t>[R].QSNIIELDNIISGNIPKDNPEEFVTVIK.[E]</t>
  </si>
  <si>
    <t>YBL034C [343-370]</t>
  </si>
  <si>
    <t>[K].SDLNLSEIFQNSGENTER.[K]</t>
  </si>
  <si>
    <t>YBL034C [1108-1125]</t>
  </si>
  <si>
    <t>1xPhospho [S6(96.3)]</t>
  </si>
  <si>
    <t>YBL034C 1xPhospho [S1113(96.3)]</t>
  </si>
  <si>
    <t>[K].SQDQHGSQEDKSTLFDEEYEFQLLLAEAK.[L]</t>
  </si>
  <si>
    <t>YBL034C [265-293]</t>
  </si>
  <si>
    <t>[K].STDDTPSIPSK.[I]</t>
  </si>
  <si>
    <t>YBL034C [1311-1321]</t>
  </si>
  <si>
    <t>[K].STLFDEEYEFQLLLAEAK.[L]</t>
  </si>
  <si>
    <t>YBL034C [276-293]</t>
  </si>
  <si>
    <t>[K].STLLTIDELIQINEK.[N]</t>
  </si>
  <si>
    <t>YBL034C [170-184]</t>
  </si>
  <si>
    <t>[R].VLQTTPDYTEQETER.[L]</t>
  </si>
  <si>
    <t>YBL034C [1479-1493]</t>
  </si>
  <si>
    <t>[K].VSAPPSSTAATK.[V]</t>
  </si>
  <si>
    <t>YBL034C [689-700]</t>
  </si>
  <si>
    <t>[K].VSENYTNFDDFPSNQIDLTDELSNSYSNPLIK.[K]</t>
  </si>
  <si>
    <t>YBL034C [701-732]</t>
  </si>
  <si>
    <t>[K].YMDKNDVSMSSSPISLK.[G]</t>
  </si>
  <si>
    <t>2xOxidation [M2; M9]</t>
  </si>
  <si>
    <t>YBL034C [734-750]</t>
  </si>
  <si>
    <t>sp</t>
  </si>
  <si>
    <t>TRYP_PIG</t>
  </si>
  <si>
    <t>protein metabolism;other biological processes</t>
  </si>
  <si>
    <t>non-structural extracellular</t>
  </si>
  <si>
    <t>Pf00089</t>
  </si>
  <si>
    <t>Phospho [S52(100)]</t>
  </si>
  <si>
    <t>[R].LGEHNIDVLEGNEQFINAAK.[I]</t>
  </si>
  <si>
    <t>sp [58-77]</t>
  </si>
  <si>
    <t>[R].LGEHNIDVLEGNEQFINAAKIITHPNFNGNTLDNDIMLIK.[L]</t>
  </si>
  <si>
    <t>1xOxidation [M37]</t>
  </si>
  <si>
    <t>sp [58-97]</t>
  </si>
  <si>
    <t>[K].IITHPNFNGNTLDNDIMLIK.[L]</t>
  </si>
  <si>
    <t>1xOxidation [M17]</t>
  </si>
  <si>
    <t>sp [78-97]</t>
  </si>
  <si>
    <t>[K].IITHPNFNGNTLDNDIMLIKLSSPATLNSR.[V]</t>
  </si>
  <si>
    <t>sp [78-107]</t>
  </si>
  <si>
    <t>[K].LSSPATLNSR.[V]</t>
  </si>
  <si>
    <t>sp [98-107]</t>
  </si>
  <si>
    <t>[K].SRIQVRLGEHNIDVLEGNEQFINAAK.[I]</t>
  </si>
  <si>
    <t>1xPhospho [S1(100)]</t>
  </si>
  <si>
    <t>sp [52-77]</t>
  </si>
  <si>
    <t>sp 1xPhospho [S52(100)]</t>
  </si>
  <si>
    <t>[R].VATVSLPR.[S]</t>
  </si>
  <si>
    <t>sp [108-115]</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</si>
  <si>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</si>
  <si>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</si>
  <si>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cell cycle OR cell proliferation;cell organization and biogenesis;transport;other biological processes</t>
  </si>
  <si>
    <t>cytoskeleton;other cell component</t>
  </si>
  <si>
    <t>Pf12709</t>
  </si>
  <si>
    <t>854370</t>
  </si>
  <si>
    <t>SLK19</t>
  </si>
  <si>
    <t>D6W2Q4; N1NX48; Q08581; sce:YOR195W; YOR195W</t>
  </si>
  <si>
    <t>[K].DFNDSDLIGQINELISTK.[N]</t>
  </si>
  <si>
    <t>YOR195W [501-518]</t>
  </si>
  <si>
    <t>[K].DIINDKEEIMSSPMAIDMIETNISPNK.[F]</t>
  </si>
  <si>
    <t>3xOxidation [M10; M14; M18]</t>
  </si>
  <si>
    <t>YOR195W [178-204]</t>
  </si>
  <si>
    <t>[K].ELENLHENLISLQNELK.[I]</t>
  </si>
  <si>
    <t>YOR195W [665-681]</t>
  </si>
  <si>
    <t>[K].FDASITEVNHIKGEHENTVNTLQQNEK.[I]</t>
  </si>
  <si>
    <t>YOR195W [401-427]</t>
  </si>
  <si>
    <t>[K].GNNDKLSEYETTLNDLNSR.[I]</t>
  </si>
  <si>
    <t>YOR195W [445-463]</t>
  </si>
  <si>
    <t>[K].HVLALNYSPIR.[V]</t>
  </si>
  <si>
    <t>YOR195W [121-131]</t>
  </si>
  <si>
    <t>[K].LHLEETITELENK.[V]</t>
  </si>
  <si>
    <t>YOR195W [614-626]</t>
  </si>
  <si>
    <t>[K].LLAEDLYIQYSSK.[H]</t>
  </si>
  <si>
    <t>YOR195W [749-761]</t>
  </si>
  <si>
    <t>[R].LILGQAQQR.[E]</t>
  </si>
  <si>
    <t>YOR195W [11-19]</t>
  </si>
  <si>
    <t>[K].ILNDKNVELENMK.[A]</t>
  </si>
  <si>
    <t>1xOxidation [M12]</t>
  </si>
  <si>
    <t>YOR195W [428-440]</t>
  </si>
  <si>
    <t>[K].LQLESVPDLK.[Q]</t>
  </si>
  <si>
    <t>YOR195W [163-172]</t>
  </si>
  <si>
    <t>[K].LSEYETTLNDLNSR.[I]</t>
  </si>
  <si>
    <t>YOR195W [450-463]</t>
  </si>
  <si>
    <t>[R].IVQLNDKIESTDIVLK.[S]</t>
  </si>
  <si>
    <t>YOR195W [464-479]</t>
  </si>
  <si>
    <t>[K].MDDLNNLNDDNLK.[V]</t>
  </si>
  <si>
    <t>YOR195W [525-537]</t>
  </si>
  <si>
    <t>[R].NAEVTELNGDIEDLKESK.[L]</t>
  </si>
  <si>
    <t>YOR195W [596-613]</t>
  </si>
  <si>
    <t>[K].NNANPLENIDINK.[M]</t>
  </si>
  <si>
    <t>YOR195W [85-97]</t>
  </si>
  <si>
    <t>[K].TLSEEIEQLNK.[Q]</t>
  </si>
  <si>
    <t>YOR195W [790-800]</t>
  </si>
  <si>
    <t>[K].TSLELESLQLK.[N]</t>
  </si>
  <si>
    <t>YOR195W [644-654]</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</si>
  <si>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</si>
  <si>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</si>
  <si>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</si>
  <si>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nucleus;other cell component</t>
  </si>
  <si>
    <t>Pf00400</t>
  </si>
  <si>
    <t>854191</t>
  </si>
  <si>
    <t>BUB3</t>
  </si>
  <si>
    <t>D6W292; P26449; sce:YOR026W; YOR026W</t>
  </si>
  <si>
    <t>Inactivation of APC/C via direct inhibition of the APC/C complex</t>
  </si>
  <si>
    <t>[K].DTNLAYPVNSIEFSPR.[H]</t>
  </si>
  <si>
    <t>YOR026W [247-262]</t>
  </si>
  <si>
    <t>[K].FNEDSVVK.[I]</t>
  </si>
  <si>
    <t>YOR026W [292-299]</t>
  </si>
  <si>
    <t>[K].IFTMDTNSSR.[L]</t>
  </si>
  <si>
    <t>YOR026W [153-162]</t>
  </si>
  <si>
    <t>[K].LIAASWDGLIEVIDPR.[N]</t>
  </si>
  <si>
    <t>YOR026W [115-130]</t>
  </si>
  <si>
    <t>[R].LIVGMNNSQVQWFR.[L]</t>
  </si>
  <si>
    <t>1xOxidation [M5]</t>
  </si>
  <si>
    <t>YOR026W [163-176]</t>
  </si>
  <si>
    <t>[R].LNLKDTNLAYPVNSIEFSPR.[H]</t>
  </si>
  <si>
    <t>YOR026W [243-262]</t>
  </si>
  <si>
    <t>[-].MQIVQIEQAPK.[D]</t>
  </si>
  <si>
    <t>YOR026W [1-11]</t>
  </si>
  <si>
    <t>[-].MQIVQIEQAPKDYISDIK.[I]</t>
  </si>
  <si>
    <t>YOR026W [1-18]</t>
  </si>
  <si>
    <t>[K].NVDLLQSLR.[Y]</t>
  </si>
  <si>
    <t>YOR026W [46-54]</t>
  </si>
  <si>
    <t>[R].NYGDGVIAVK.[N]</t>
  </si>
  <si>
    <t>YOR026W [131-140]</t>
  </si>
  <si>
    <t>[K].SLLLITSWDGSLTVYK.[F]</t>
  </si>
  <si>
    <t>YOR026W [24-39]</t>
  </si>
  <si>
    <t>[R].VAVEFFDDQGDDYNSSK.[R]</t>
  </si>
  <si>
    <t>YOR026W [218-234]</t>
  </si>
  <si>
    <t>[R].VAVEFFDDQGDDYNSSKR.[F]</t>
  </si>
  <si>
    <t>YOR026W [218-235]</t>
  </si>
  <si>
    <t>[K].YGDDKLIAASWDGLIEVIDPR.[N]</t>
  </si>
  <si>
    <t>YOR026W [110-130]</t>
  </si>
  <si>
    <t>YJL030W</t>
  </si>
  <si>
    <t>MAD2 SGDID:S000003567, Chr X from 387652-388242, Verified ORF, "Component of the spindle-assembly checkpoint complex, which delays the onset of anaphase in cells with defects in mitotic spindle assembly; forms a complex with Mad1p"</t>
  </si>
  <si>
    <t>cell cycle OR cell proliferation;cell organization and biogenesis;signal transduction;other biological processes</t>
  </si>
  <si>
    <t>Pf02301</t>
  </si>
  <si>
    <t>853422</t>
  </si>
  <si>
    <t>K7_MAD2; MAD2; MAD2_1</t>
  </si>
  <si>
    <t>A0A0L8VN53; A0A6A5PV10; A0A6C1DV92; A0A815ZLP1; A6ZPU5; B3LQ80; B5VLE6; C7GSQ4; C8ZBI3; D6VWF2; G2WGY7; H0GIK5; N1P1D5; P40958; sce:YJL030W; YJL030W</t>
  </si>
  <si>
    <t>[K].EGGYTFTVLAYTDADAK.[V]</t>
  </si>
  <si>
    <t>YJL030W [141-157]</t>
  </si>
  <si>
    <t>[K].EIPDGEVVQFK.[T]</t>
  </si>
  <si>
    <t>YJL030W [169-179]</t>
  </si>
  <si>
    <t>[R].GVYPAEDFVTVK.[K]</t>
  </si>
  <si>
    <t>YJL030W [30-41]</t>
  </si>
  <si>
    <t>[R].QITSSVTFLPELTK.[E]</t>
  </si>
  <si>
    <t>YJL030W [127-140]</t>
  </si>
  <si>
    <t>[R].TVTEFFEYSINSILYQR.[G]</t>
  </si>
  <si>
    <t>YJL030W [13-29]</t>
  </si>
  <si>
    <t>[K].VGAQVSYKY.[-]</t>
  </si>
  <si>
    <t>YJL030W [188-196]</t>
  </si>
  <si>
    <t>[K].VPLEWADSNSK.[E]</t>
  </si>
  <si>
    <t>YJL030W [158-168]</t>
  </si>
  <si>
    <t>IPI00556624 IPI:IPI00556624.1</t>
  </si>
  <si>
    <t>TREMBL:Q6GSJ0 REFSEQ_NP:NP_006112|ENSEMBL:ENSP00000252244 Tax_Id=9606 Keratin 1</t>
  </si>
  <si>
    <t>[K].LALDIEIATYR.[KT]</t>
  </si>
  <si>
    <t>IPI00556624 IPI:IPI00556624.1 [473-483]</t>
  </si>
  <si>
    <t>[K].NMQDMVEDYR.[N]</t>
  </si>
  <si>
    <t>2xOxidation [M2; M5]</t>
  </si>
  <si>
    <t>IPI00556624 IPI:IPI00556624.1 [258-267]</t>
  </si>
  <si>
    <t>[R].SLDLDSIIAEVK.[A]</t>
  </si>
  <si>
    <t>IPI00556624 IPI:IPI00556624.1 [344-355]</t>
  </si>
  <si>
    <t>[K].YEELQITAGR.[H]</t>
  </si>
  <si>
    <t>IPI00556624 IPI:IPI00556624.1 [377-386]</t>
  </si>
  <si>
    <t>YGL093W</t>
  </si>
  <si>
    <t>SPC105 SGDID:S000003061, Chr VII from 334889-337642, Verified ORF, "Protein required for accurate chromosome segregation, localizes to the nuclear side of the spindle pole body; forms a complex with Ydr532cp"</t>
  </si>
  <si>
    <t>other membranes;cytoskeleton;nucleus;other cell component</t>
  </si>
  <si>
    <t>cytoskeletal activity</t>
  </si>
  <si>
    <t>Pf08317</t>
  </si>
  <si>
    <t>852787</t>
  </si>
  <si>
    <t>SPC105</t>
  </si>
  <si>
    <t>A0A815YMN5; A6ZU87; C7GW25; D6VU52; N1P1U6; P53148; sce:YGL093W; YGL093W</t>
  </si>
  <si>
    <t>[R].EFINEVGVGFLDTK.[L]</t>
  </si>
  <si>
    <t>YGL093W [458-471]</t>
  </si>
  <si>
    <t>[R].INTSNLQSMVK.[R]</t>
  </si>
  <si>
    <t>1xOxidation [M9]</t>
  </si>
  <si>
    <t>YGL093W [63-73]</t>
  </si>
  <si>
    <t>[K].ISGVLPSFTK.[S]</t>
  </si>
  <si>
    <t>YGL093W [900-909]</t>
  </si>
  <si>
    <t>[K].ISSQEEPLVTSTQIDDAR.[T]</t>
  </si>
  <si>
    <t>YGL093W [113-130]</t>
  </si>
  <si>
    <t>[K].ITQTEEEEALLQFK.[D]</t>
  </si>
  <si>
    <t>YGL093W [830-843]</t>
  </si>
  <si>
    <t>[K].VNFPLNSFNFVENQR.[I]</t>
  </si>
  <si>
    <t>YGL093W [480-494]</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</si>
  <si>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</si>
  <si>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</si>
  <si>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other metabolic processes;other biological processes</t>
  </si>
  <si>
    <t>plasma membrane;other membranes;cytosol;mitochondrion;other cytoplasmic organelle</t>
  </si>
  <si>
    <t>Pf00113, Pf03952</t>
  </si>
  <si>
    <t>856579</t>
  </si>
  <si>
    <t>ENO2; K7_ENO2</t>
  </si>
  <si>
    <t>A0A0L8VPS0; A0A6A5PY35; A0A6C1DSX5; A0A815Z3P1; A6ZT81; B3LST6; D3DLC2; G2WFP7; P00925; P99013; sce:YHR174W; YHR174W</t>
  </si>
  <si>
    <t>Glycolysis; Gluconeogenesis</t>
  </si>
  <si>
    <t>[K].AVDDFLISLDGTANK.[S]</t>
  </si>
  <si>
    <t>YHR174W [89-103]</t>
  </si>
  <si>
    <t>[K].LGANAILGVSMAAAR.[A]</t>
  </si>
  <si>
    <t>1xOxidation [M11]</t>
  </si>
  <si>
    <t>YHR174W [106-120]</t>
  </si>
  <si>
    <t>[R].SGETEDTFIADLVVGLR.[T]</t>
  </si>
  <si>
    <t>YHR174W [376-392]</t>
  </si>
  <si>
    <t>[K].TAGIQIVADDLTVTNPAR.[I]</t>
  </si>
  <si>
    <t>YHR174W [313-330]</t>
  </si>
  <si>
    <t>[R].YGASAGNVGDEGGVAPNIQTAEEALDLIVDAIK.[A]</t>
  </si>
  <si>
    <t>YHR174W [202-234]</t>
  </si>
  <si>
    <t>YFL037W</t>
  </si>
  <si>
    <t>TUB2 SGDID:S000001857, Chr VI from 56335-57708, Verified ORF, "Beta-tubulin; associates with alpha-tubulin (Tub1p and Tub3p) to form tubulin dimer, which polymerizes to form microtubules"</t>
  </si>
  <si>
    <t>Pf00091, Pf03953</t>
  </si>
  <si>
    <t>850506</t>
  </si>
  <si>
    <t>K7_TUB2; TUB2</t>
  </si>
  <si>
    <t>A0A6A5PXT5; A7A202; D6VTJ3; G2WDA4; J8Q8K1; N1P6L4; P02557; sce:YFL037W; YFL037W</t>
  </si>
  <si>
    <t>Neutrophil degranulation; Cilium Assembly; Aggrephagy; Sealing of the nuclear envelope (NE) by ESCRT-III</t>
  </si>
  <si>
    <t>[K].GHYTEGAELVDSVMDVIR.[R]</t>
  </si>
  <si>
    <t>YFL037W [104-121]</t>
  </si>
  <si>
    <t>[R].MMATFSVLPSPK.[T]</t>
  </si>
  <si>
    <t>2xOxidation [M1; M2]</t>
  </si>
  <si>
    <t>YFL037W [163-174]</t>
  </si>
  <si>
    <t>[R].SINVDLEPGTIDAVR.[N]</t>
  </si>
  <si>
    <t>YFL037W [63-77]</t>
  </si>
  <si>
    <t>[R].SLTVPELTQQMFDAK.[N]</t>
  </si>
  <si>
    <t>YFL037W [283-297]</t>
  </si>
  <si>
    <t>IPI00019359 IPI:IPI00019359.2</t>
  </si>
  <si>
    <t>SWISS-PROT:P35527 REFSEQ_NP:NP_000217|ENSEMBL:ENSP00000246662 Tax_Id=9606 Keratin 9</t>
  </si>
  <si>
    <t>cell organization and biogenesis;developmental processes;other biological processes</t>
  </si>
  <si>
    <t>cytosol;cytoskeleton</t>
  </si>
  <si>
    <t>Pf00038</t>
  </si>
  <si>
    <t>3857; 454664</t>
  </si>
  <si>
    <t>KRT9</t>
  </si>
  <si>
    <t>A0A2J8KG96; A0A6D2VYW7; H2QCZ6; hsa:3857; IPI00019359 IPI:IPI00019359.2; O00109; P35527; ptr:454664; Q0IJ47; Q14665</t>
  </si>
  <si>
    <t>Formation of the cornified envelope</t>
  </si>
  <si>
    <t>ENSG00000171403; ENSPTRG00000009169</t>
  </si>
  <si>
    <t>[K].DIENQYETQITQIEHEVSSSGQEVQSSAK.[E]</t>
  </si>
  <si>
    <t>IPI00019359 IPI:IPI00019359.2 [340-368]</t>
  </si>
  <si>
    <t>[K].EIETYHNLLEGGQEDFESSGAGK.[I]</t>
  </si>
  <si>
    <t>IPI00019359 IPI:IPI00019359.2 [450-472]</t>
  </si>
  <si>
    <t>[K].NYSPYYNTIDDLKDQIVDLTVGNNK.[T]</t>
  </si>
  <si>
    <t>IPI00019359 IPI:IPI00019359.2 [200-224]</t>
  </si>
  <si>
    <t>[R].SGGGGGGGLGSGGSIR.[S]</t>
  </si>
  <si>
    <t>IPI00019359 IPI:IPI00019359.2 [14-29]</t>
  </si>
  <si>
    <t>[K].TLLDIDNTR.[M]</t>
  </si>
  <si>
    <t>IPI00019359 IPI:IPI00019359.2 [225-233]</t>
  </si>
  <si>
    <t>[K].VQALEEANNDLENK.[I]</t>
  </si>
  <si>
    <t>IPI00019359 IPI:IPI00019359.2 [171-184]</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</si>
  <si>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</si>
  <si>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</si>
  <si>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cytosol;nucleus;other cell component</t>
  </si>
  <si>
    <t>Pf00205, Pf02775, Pf02776</t>
  </si>
  <si>
    <t>850733</t>
  </si>
  <si>
    <t>PDC1; PDC1_1</t>
  </si>
  <si>
    <t>A0A0L8VLD5; A0A6C1DVV6; A0A7I9FNH9; A7A0U9; B3LT15; D6VY46; H0GK16; O00042; P06169; Q07991; Q12682; Q12686; Q12687; sce:YLR044C; YLR044C</t>
  </si>
  <si>
    <t>[K].LIDLTQFPAFVTPMGK.[G]</t>
  </si>
  <si>
    <t>YLR044C [234-249]</t>
  </si>
  <si>
    <t>[R].MIEIMLPVFDAPQNLVEQAK.[L]</t>
  </si>
  <si>
    <t>2xOxidation [M1; M5]</t>
  </si>
  <si>
    <t>YLR044C [535-554]</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</si>
  <si>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</si>
  <si>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</si>
  <si>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cell cycle OR cell proliferation;other biological processes</t>
  </si>
  <si>
    <t>Pf08286</t>
  </si>
  <si>
    <t>855144</t>
  </si>
  <si>
    <t>K7_SPC24; SPC24; SPC24_1</t>
  </si>
  <si>
    <t>A0A0L8VJZ9; A0A6A5PV53; A0A6C1DY98; A0A816AGS0; A6ZMH4; B3LM08; B5VPP2; C7GW93; C8ZEX0; D6VZU0; G2WKG7; N1NXC8; Q04477; sce:YMR117C; YMR117C</t>
  </si>
  <si>
    <t>[K].DNLLDNPVEFLK.[E]</t>
  </si>
  <si>
    <t>YMR117C [5-16]</t>
  </si>
  <si>
    <t>[R].SLGVILDLENDQVLINR.[K]</t>
  </si>
  <si>
    <t>YMR117C [167-183]</t>
  </si>
  <si>
    <t>[K].VIEPELEEQSAVTPEANENILK.[L]</t>
  </si>
  <si>
    <t>YMR117C [140-161]</t>
  </si>
  <si>
    <t>YBR118W</t>
  </si>
  <si>
    <t>TEF2 SGDID:S000000322, Chr II from 477665-479041, Verified ORF, "Translational elongation factor EF-1 alpha; also encoded by TEF1; functions in the binding reaction of aminoacyl-tRNA (AA-tRNA) to ribosomes"</t>
  </si>
  <si>
    <t>cell organization and biogenesis;protein metabolism;other metabolic processes;stress response;transport;other biological processes</t>
  </si>
  <si>
    <t>other membranes;cytoskeleton;mitochondrion;other cytoplasmic organelle;other cell component</t>
  </si>
  <si>
    <t>cytoskeletal activity;translation activity;nucleic acid binding activity;other molecular function</t>
  </si>
  <si>
    <t>Pf00009, Pf03143, Pf03144</t>
  </si>
  <si>
    <t>852415; 856195</t>
  </si>
  <si>
    <t>K7_TEF1; TEF1; TEF1_1; TEF2</t>
  </si>
  <si>
    <t>A0A0L8VG38; A0A1Y1RSQ5; A0A6A5Q4X1; A0A6C1DNC6; A0A816BIQ1; A6ZL63; B3LK50; B5VTM5; C7GPS3; C8ZJA5; D6VQB6; G2WPQ0; N1P8G0; P02994; Q7Z7U8; Q7Z8Q8; Q7Z8Q9; sce:YBR118W; sce:YPR080W; YBR118W</t>
  </si>
  <si>
    <t>Neutrophil degranulation; HSF1 activation; Eukaryotic Translation Elongation; Protein methylation</t>
  </si>
  <si>
    <t>[R].VETGVIKPGMVVTFAPAGVTTEVK.[S]</t>
  </si>
  <si>
    <t>1xOxidation [M10]</t>
  </si>
  <si>
    <t>YBR118W [265-288]</t>
  </si>
  <si>
    <t>YDR532C</t>
  </si>
  <si>
    <t>YDR532C SGDID:S000002940, Chr IV from 1500546-1499389, reverse complement, Uncharacterized ORF, "Protein of unknown function that localizes to the nuclear side of the spindle pole body and along short spindles; deletion mutants have short telomeres; forms a complex with Spc105p"</t>
  </si>
  <si>
    <t>Pf17097</t>
  </si>
  <si>
    <t>852145</t>
  </si>
  <si>
    <t>KRE28</t>
  </si>
  <si>
    <t>D6VTF3; Q04431; Q6Q537; sce:YDR532C; YDR532C</t>
  </si>
  <si>
    <t>[K].AGGNIVTDIEASSK.[F]</t>
  </si>
  <si>
    <t>YDR532C [345-358]</t>
  </si>
  <si>
    <t>[R].VNDLKEEISNVQESK.[I]</t>
  </si>
  <si>
    <t>YDR532C [136-150]</t>
  </si>
  <si>
    <t>[K].VQIFEVMDDIISELTNE.[-]</t>
  </si>
  <si>
    <t>YDR532C [369-385]</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</si>
  <si>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</si>
  <si>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</si>
  <si>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</si>
  <si>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</si>
  <si>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</si>
  <si>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A0A6A5Q3C2; C7GK36; D6W1Z8; N1NWD5; P33895; Q6B1X5; sce:YOL069W; YOL069W</t>
  </si>
  <si>
    <t>[K].DLEALSFQIVELESNR.[D]</t>
  </si>
  <si>
    <t>YOL069W [226-241]</t>
  </si>
  <si>
    <t>[R].LLSAVVNYAR.[F]</t>
  </si>
  <si>
    <t>YOL069W [122-131]</t>
  </si>
  <si>
    <t>[K].IQETLSIDYNDYK.[I]</t>
  </si>
  <si>
    <t>YOL069W [205-217]</t>
  </si>
  <si>
    <t>[K].ISNTDMEELSEGIKELNDLLIQR.[K]</t>
  </si>
  <si>
    <t>YOL069W [247-269]</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</si>
  <si>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</si>
  <si>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</si>
  <si>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</si>
  <si>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</si>
  <si>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</si>
  <si>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A0A0L8VNG6; A0A815ZSN8; A6ZQ68; B3LQJ6; B5VLQ6; C7GM97; C8ZBR0; D6VWT1; N1P3N1; P47149; Q06779; sce:YJR112W; YJR112W</t>
  </si>
  <si>
    <t>[K].LNELDELILEAK.[E]</t>
  </si>
  <si>
    <t>YJR112W [82-93]</t>
  </si>
  <si>
    <t>YAL038W</t>
  </si>
  <si>
    <t>CDC19 SGDID:S000000036, Chr I from 71787-73289, Verified ORF, "Pyruvate kinase, functions as a homotetramer in glycolysis to convert phosphoenolpyruvate to pyruvate, the input for aerobic (TCA cycle) or anaerobic (glucose fermentation) respiration"</t>
  </si>
  <si>
    <t>other metabolic processes</t>
  </si>
  <si>
    <t>other cell component</t>
  </si>
  <si>
    <t>kinase activity;other molecular function</t>
  </si>
  <si>
    <t>Pf00224, Pf02887</t>
  </si>
  <si>
    <t>851193</t>
  </si>
  <si>
    <t>CDC19; CDC19_1; K7_CDC19</t>
  </si>
  <si>
    <t>A0A6A5PVI5; A0A6C1DKH9; A0A815WGD4; A7A0C8; B3LUX4; B5VDI0; C7GU44; C8Z3F1; D6VPH8; G2W8J2; H0GBV9; N1P8V5; P00549; Q2VQG5; sce:YAL038W; U5TV04; YAL038W</t>
  </si>
  <si>
    <t>Glycolysis; Neutrophil degranulation</t>
  </si>
  <si>
    <t>[K].AIIVLSTSGTTPR.[L]</t>
  </si>
  <si>
    <t>YAL038W [397-409]</t>
  </si>
  <si>
    <t>[R].GDLGIEIPAPEVLAVQK.[K]</t>
  </si>
  <si>
    <t>YAL038W [265-281]</t>
  </si>
  <si>
    <t>[R].LTSLNVVAGSDLR.[R]</t>
  </si>
  <si>
    <t>YAL038W [7-19]</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</si>
  <si>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</si>
  <si>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</si>
  <si>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</si>
  <si>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</si>
  <si>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K7_NSL1; NSL1; NSL1_1</t>
  </si>
  <si>
    <t>A0A0L8VGI7; A0A6A5Q5F3; A0A6C1E0H5; A0A816BLR7; A6ZW22; B3LKJ8; C7GU72; D6W3D7; G2WNV2; N1NVM3; Q12143; Q6B152; sce:YPL233W; YPL233W</t>
  </si>
  <si>
    <t>[K].QDYVASLNELYQTQQDLPK.[V]</t>
  </si>
  <si>
    <t>YPL233W [180-198]</t>
  </si>
  <si>
    <t>[K].YMEPFDLDLNEQVR.[K]</t>
  </si>
  <si>
    <t>1xOxidation [M2]</t>
  </si>
  <si>
    <t>YPL233W [91-104]</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</si>
  <si>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</si>
  <si>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</si>
  <si>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</si>
  <si>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</si>
  <si>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 MTW1_1</t>
  </si>
  <si>
    <t>A0A6A5PWQ7; A0A6C1DKV1; A7A0D3; B3LUW9; C7GPK0; D6VPI3; N1P9S8; P39731; sce:YAL034W-A; YAL034W-A</t>
  </si>
  <si>
    <t>[R].IPEEYLDANVFR.[L]</t>
  </si>
  <si>
    <t>YAL034W-A [94-105]</t>
  </si>
  <si>
    <t>[R].TQAGDIVSIDIEEPQLDLLDDVL.[-]</t>
  </si>
  <si>
    <t>YAL034W-A [267-289]</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</si>
  <si>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</si>
  <si>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</si>
  <si>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cycle OR cell proliferation;cell organization and biogenesis;protein metabolism;other metabolic processes</t>
  </si>
  <si>
    <t>nucleic acid binding activity;other molecular function</t>
  </si>
  <si>
    <t>Pf15511</t>
  </si>
  <si>
    <t>28929327; 28933844; 852294; 855701</t>
  </si>
  <si>
    <t>HHF1; HHF1_2; HHF2; K7_HHF1; YBR009C</t>
  </si>
  <si>
    <t>A0A0L8RN31; A0A0L8VV91; A0A6A5Q1V3; A0A6C1E0Q7; A0A815WBI4; A6ZKV6; B3LND1; C7GM41; C8Z404; C8ZFK7; D6VQ10; G2W917; H0GC86; J5S3K3; J8QAJ7; N1PAQ9; P02309; sce:YBR009C; sce:YNL030W; YNL030W</t>
  </si>
  <si>
    <t>Condensation of Prophase Chromosomes; Oxidative Stress Induced Senescence; HDACs deacetylate histones; HATs acetylate histones; SIRT1 negatively regulates rRNA expression; Activated PKN1 stimulates transcription of AR (androgen receptor) regulated genes KLK2 and KLK3; Recruitment and ATM-mediated phosphorylation of repair and signaling proteins at DNA double strand breaks; Assembly of the ORC complex at the origin of replication; RNA Polymerase I Promoter Escape; Estrogen-dependent gene expression; RMTs methylate histone arginines; SUMOylation of chromatin organization proteins</t>
  </si>
  <si>
    <t>[K].TVTSLDVVYALK.[R]</t>
  </si>
  <si>
    <t>YNL030W [81-92]</t>
  </si>
  <si>
    <t>IPI00008359 IPI:IPI00008359.1</t>
  </si>
  <si>
    <t>SWISS-PROT:Q01546 TREMBL:Q7Z795|REFSEQ_NP:NP_056932|ENSEMBL:ENSP00000330101 Tax_Id=9606 Keratin, type II cytoskeletal 2 oral</t>
  </si>
  <si>
    <t>[K].LALDVEIATYR.[K]</t>
  </si>
  <si>
    <t>IPI00008359 IPI:IPI00008359.1 [476-486]</t>
  </si>
  <si>
    <t>[K].LGELQTTAGR.[H]</t>
  </si>
  <si>
    <t>IPI00008359 IPI:IPI00008359.1 [380-389]</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</si>
  <si>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</si>
  <si>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</si>
  <si>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</si>
  <si>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</si>
  <si>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</si>
  <si>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</si>
  <si>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K7_TDH3; TDH3</t>
  </si>
  <si>
    <t>A0A6A5PYU8; D6VUX4; G2WES0; N1P2H7; P00359; Q6Q5P9; sce:YGR192C; YGR192C</t>
  </si>
  <si>
    <t>[R].TASGNIIPSSTGAAK.[A]</t>
  </si>
  <si>
    <t>YGR192C [199-213]</t>
  </si>
  <si>
    <t>[K].VINDAFGIEEGLMTTVHSLTATQK.[T]</t>
  </si>
  <si>
    <t>1xOxidation [M13]</t>
  </si>
  <si>
    <t>YGR192C [161-184]</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</si>
  <si>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</si>
  <si>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</si>
  <si>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nucleic acid binding activity</t>
  </si>
  <si>
    <t>Pf12550, Pf16787</t>
  </si>
  <si>
    <t>853041</t>
  </si>
  <si>
    <t>CBF2</t>
  </si>
  <si>
    <t>D6VUS0; E9P954; P32504; sce:YGR140W; YGR140W</t>
  </si>
  <si>
    <t>[K].GSPILSFDILPGFNK.[I]</t>
  </si>
  <si>
    <t>YGR140W [508-522]</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</si>
  <si>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</si>
  <si>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</si>
  <si>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cell organization and biogenesis;DNA metabolism;other metabolic processes;stress response</t>
  </si>
  <si>
    <t>Pf00125, Pf16211</t>
  </si>
  <si>
    <t>852283</t>
  </si>
  <si>
    <t>HTA2; K7_HTA2</t>
  </si>
  <si>
    <t>A0A0L8VV98; A0A6A5Q402; A0A6C1DLM4; A0A815WIF0; A6ZKU5; B3LNE2; C7GM51; C8Z3Z5; D6VPZ9; G2W906; N1P913; P04912; sce:YBL003C; YBL003C</t>
  </si>
  <si>
    <t>Condensation of Prophase Chromosomes; Oxidative Stress Induced Senescence; HDACs deacetylate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Assembly of the ORC complex at the origin of replication; RNA Polymerase I Promoter Escape; Estrogen-dependent gene expression; RMTs methylate histone arginines</t>
  </si>
  <si>
    <t>Proteasome degradation</t>
  </si>
  <si>
    <t>[K].LLGNVTIAQGGVLPNIHQNLLPK.[K]</t>
  </si>
  <si>
    <t>YBL003C [98-120]</t>
  </si>
  <si>
    <t>[R].NDDELNKLLGNVTIAQGGVLPNIHQNLLPK.[K]</t>
  </si>
  <si>
    <t>YBL003C [91-120]</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</si>
  <si>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</si>
  <si>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</si>
  <si>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cell organization and biogenesis;protein metabolism;other metabolic processes</t>
  </si>
  <si>
    <t>cytosol;translational apparatus;other cell component</t>
  </si>
  <si>
    <t>Pf00276, Pf03939</t>
  </si>
  <si>
    <t>853993</t>
  </si>
  <si>
    <t>K7_RPL25; RPL25; RPL25_1</t>
  </si>
  <si>
    <t>A0A0L8VHZ1; A0A6C1E140; A0A6L0YSM0; A0A816B966; A6ZN84; B3LIT9; C8ZHI9; D6W1U1; G2WMB0; N1P3G5; P04456; sce:YOL127W; YOL127W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</si>
  <si>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</si>
  <si>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[R].LTADYDALDIANR.[I]</t>
  </si>
  <si>
    <t>YOL127W [126-138]</t>
  </si>
  <si>
    <t>[K].VIEQPITSETAMK.[K]</t>
  </si>
  <si>
    <t>YOL127W [62-74]</t>
  </si>
  <si>
    <t>YHR008C</t>
  </si>
  <si>
    <t>SOD2 SGDID:S000001050, Chr VIII from 123585-122884, reverse complement, Verified ORF, "Mitochondrial superoxide dismutase, protects cells against oxygen toxicity; phosphorylated"</t>
  </si>
  <si>
    <t>other metabolic processes;stress response</t>
  </si>
  <si>
    <t>mitochondrion</t>
  </si>
  <si>
    <t>Pf00081, Pf02777</t>
  </si>
  <si>
    <t>856399</t>
  </si>
  <si>
    <t>K7_SOD2; sod2; SOD2; SOD2_1</t>
  </si>
  <si>
    <t>A0A0L8VP44; A0A6C1DS42; A0A815Z5W4; A6ZSR2; B3LSC9; B5VJT4; C7GMQ3; C8ZA75; D3DKV3; G2WF76; H0GH32; N1P9K8; P00447; S4VIJ3; S4VPL7; sce:YHR008C; YHR008C</t>
  </si>
  <si>
    <t>Detoxification of Reactive Oxygen Species</t>
  </si>
  <si>
    <t>[K].AIDEQFGSLDELIK.[L]</t>
  </si>
  <si>
    <t>YHR008C [132-145]</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</si>
  <si>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</si>
  <si>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</si>
  <si>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</si>
  <si>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</si>
  <si>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K7_PGK1; PGK1</t>
  </si>
  <si>
    <t>A0A6A5Q0F0; A0A815X572; A6ZTJ3; B3LU83; C7GQM4; C8Z499; D6VR21; G2WA29; N1P832; P00560; sce:YCR012W; U5TUV6; YCR012W</t>
  </si>
  <si>
    <t>[K].ASAPGSVILLENLR.[Y]</t>
  </si>
  <si>
    <t>YCR012W [109-122]</t>
  </si>
  <si>
    <t>[K].GVEVVLPVDFIIADAFSADANTK.[T]</t>
  </si>
  <si>
    <t>YCR012W [275-297]</t>
  </si>
  <si>
    <t>K1C10_HUMAN</t>
  </si>
  <si>
    <t>[K].GSLGGGFSSGGFSGGSFSR.[G]</t>
  </si>
  <si>
    <t>sp [41-59]</t>
  </si>
  <si>
    <t>[K].TIDDLKNQILNLTTDNANILLQIDNAR.[L]</t>
  </si>
  <si>
    <t>sp [202-228]</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</si>
  <si>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</si>
  <si>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</si>
  <si>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cell organization and biogenesis</t>
  </si>
  <si>
    <t>Pf00125</t>
  </si>
  <si>
    <t>852284</t>
  </si>
  <si>
    <t>HTB2; HTB2_1; K7_HTB2</t>
  </si>
  <si>
    <t>A0A0L8VVI5; A0A6A5Q1U6; A0A6C1DMY9; A0A815W5R5; A6ZKU6; B3LNE1; C7GM50; C8Z3Z6; D6VQ00; G2W907; H0GC78; N1P9S0; P02294; sce:YBL002W; YBL002W</t>
  </si>
  <si>
    <t>Condensation of Prophase Chromosomes; Oxidative Stress Induced Senescence; HDACs deacetylate histones; HATs 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Assembly of the ORC complex at the origin of replication; RNA Polymerase I Promoter Escape; Estrogen-dependent gene expression</t>
  </si>
  <si>
    <t>[R].LILPGELAK.[H]</t>
  </si>
  <si>
    <t>YBL002W [104-112]</t>
  </si>
  <si>
    <t>[K].SMSILNSFVNDIFER.[I]</t>
  </si>
  <si>
    <t>YBL002W [62-76]</t>
  </si>
  <si>
    <t>YKL049C</t>
  </si>
  <si>
    <t>CSE4 SGDID:S000001532, Chr XI from 346408-345719, reverse complement, Verified ORF, "Centromere protein that resembles histones, required for proper kinetochore function; homolog of human CENP-A"</t>
  </si>
  <si>
    <t>853817</t>
  </si>
  <si>
    <t>CSE4; K7_CSE4</t>
  </si>
  <si>
    <t>A0A0L8VMT2; A0A6A5PV75; A0A815ZYH4; A6ZZR7; B3LR40; B5VMA8; C7GP25; C8ZCC3; D6VXN8; G2WHY3; H0GJ83; N1P2E0; P36012; sce:YKL049C; YKL049C</t>
  </si>
  <si>
    <t>Condensation of Prophase Chromosomes; Oxidative Stress Induced Senescence; HDACs deacetylate histones; HATs acetylate histones; SIRT1 negatively regulates rRNA expression; Activated PKN1 stimulates transcription of AR (androgen receptor) regulated genes KLK2 and KLK3; Recruitment and ATM-mediated phosphorylation of repair and signaling proteins at DNA double strand breaks; Assembly of the ORC complex at the origin of replication; RNA Polymerase I Promoter Escape; Estrogen-dependent gene expression; RMTs methylate histone arginines; PKMTs methylate histone lysines; HDMs demethylate histones</t>
  </si>
  <si>
    <t>[K].YTPSELALYEIR.[K]</t>
  </si>
  <si>
    <t>YKL049C [132-143]</t>
  </si>
  <si>
    <t>IPI00217963 IPI:IPI00217963.2</t>
  </si>
  <si>
    <t>SWISS-PROT:P08779 TREMBL:Q16195|REFSEQ_NP:NP_005548|ENSEMBL:ENSP00000301653 Tax_Id=9606 Keratin, type I cytoskeletal 16</t>
  </si>
  <si>
    <t>[R].GQTGGDVNVEMDAAPGVDLSR.[I]</t>
  </si>
  <si>
    <t>IPI00217963 IPI:IPI00217963.2 [263-283]</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</si>
  <si>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</si>
  <si>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</si>
  <si>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</si>
  <si>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</si>
  <si>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</si>
  <si>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</si>
  <si>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A0A0L8VM92; D6VXM7; N1P7U8; P14540; sce:YKL060C; YKL060C</t>
  </si>
  <si>
    <t>[K].FAIPAINVTSSSTAVAALEAAR.[D]</t>
  </si>
  <si>
    <t>YKL060C [31-52]</t>
  </si>
  <si>
    <t>[K].SPIILQTSNGGAAYFAGK.[G]</t>
  </si>
  <si>
    <t>YKL060C [56-73]</t>
  </si>
  <si>
    <t>YOR312C</t>
  </si>
  <si>
    <t>RPL20B SGDID:S000005839, Chr XV from 901191-901191,900764-900247, reverse complement, Verified ORF, "Protein component of the large (60S) ribosomal subunit, nearly identical to Rpl20Ap and has similarity to rat L18a ribosomal protein"</t>
  </si>
  <si>
    <t>protein metabolism;other metabolic processes</t>
  </si>
  <si>
    <t>cytosol;translational apparatus</t>
  </si>
  <si>
    <t>Pf01775</t>
  </si>
  <si>
    <t>854489; 855283</t>
  </si>
  <si>
    <t>RPL20A; RPL20B</t>
  </si>
  <si>
    <t>A0A816AK81; A1YV95; A1YV96; C8ZFA7; D6W068; P0C2I0; P0C2I1; P0CX23; P0CX24; P47913; sce:YMR242C; sce:YOR312C; YOR312C</t>
  </si>
  <si>
    <t>[R].VAAVETLYQDMAAR.[H]</t>
  </si>
  <si>
    <t>YOR312C [100-113]</t>
  </si>
  <si>
    <t>IPI00384444 IPI:IPI00384444.4</t>
  </si>
  <si>
    <t>SWISS-PROT:P02533 TREMBL:Q9UBN2;Q13092;Q53XY3;Q9UBN3|REFSEQ_NP:NP_000517|ENSEMBL:ENSP00000167586|H-INV:HIT000031101;HIT000038549 Tax_Id=9606 Keratin, type I cytoskeletal 14</t>
  </si>
  <si>
    <t>[R].GQVGGDVNVEMDAAPGVDLSR.[I]</t>
  </si>
  <si>
    <t>IPI00384444 IPI:IPI00384444.4 [261-281]</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</si>
  <si>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</si>
  <si>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</si>
  <si>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</si>
  <si>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</si>
  <si>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</si>
  <si>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 MCM21_1</t>
  </si>
  <si>
    <t>A0A0L8VTK2; A0A6C1DRK7; A0A6L0YZI9; A0A815XM04; A6ZYR9; B3LFY0; C8Z5M9; D6VSU9; N1P756; Q06675; sce:YDR318W; YDR318W</t>
  </si>
  <si>
    <t>[R].MFGITFFPLVDPIDLK.[I]</t>
  </si>
  <si>
    <t>YDR318W [172-187]</t>
  </si>
  <si>
    <t>YPR181C</t>
  </si>
  <si>
    <t>SEC23 SGDID:S000006385, Chr XVI from 899663-897357, reverse complement, Verified ORF, "GTPase-activating protein; component of the Sec23p-Sec24p heterodimeric complex of the COPII vesicle coat, involved in ER to Golgi transport and autophagy; stimulates the GDP-bound form of Sar1p"</t>
  </si>
  <si>
    <t>cell organization and biogenesis;other metabolic processes;transport;other biological processes</t>
  </si>
  <si>
    <t>other membranes;ER/Golgi</t>
  </si>
  <si>
    <t>enzyme regulator activity;other molecular function</t>
  </si>
  <si>
    <t>Pf00626, Pf04810, Pf04811, Pf04815, Pf08033</t>
  </si>
  <si>
    <t>856311</t>
  </si>
  <si>
    <t>K7_SEC23; SEC23</t>
  </si>
  <si>
    <t>A0A0L8VGD0; A0A7I9GU03; A0A816BHE1; A6ZX55; B3LKE0; C7GP63; C8ZJL0; D6W4I1; G2WPZ2; H0GQ83; N1NWK6; P15303; sce:YPR181C; YPR181C</t>
  </si>
  <si>
    <t>COPII-mediated vesicle transport; Cargo concentration in the ER; Antigen Presentation: Folding, assembly and peptide loading of class I MHC</t>
  </si>
  <si>
    <t>Phospho [S289(93.8)]</t>
  </si>
  <si>
    <t>[R].IILFASGPGTVAPGLIVNSELK.[D]</t>
  </si>
  <si>
    <t>2xPhospho [S6(93.8); S/T]</t>
  </si>
  <si>
    <t>YPR181C [284-305]</t>
  </si>
  <si>
    <t>YPR181C 2xPhospho [S289(93.8); S/T]</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</si>
  <si>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</si>
  <si>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</si>
  <si>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cell cycle OR cell proliferation;cell organization and biogenesis</t>
  </si>
  <si>
    <t>850734</t>
  </si>
  <si>
    <t>K7_STU2; STU2</t>
  </si>
  <si>
    <t>D6VY47; G2WIN7; P46675; sce:YLR045C; YLR045C</t>
  </si>
  <si>
    <t>[R].YLKDEVVPIVIQIVNDTQPAIR.[T]</t>
  </si>
  <si>
    <t>YLR045C [498-519]</t>
  </si>
  <si>
    <t>YHL001W</t>
  </si>
  <si>
    <t>RPL14B SGDID:S000000993, Chr VIII from 104272-104400,104799-105086, Verified ORF, "Protein component of the large (60S) ribosomal subunit, nearly identical to Rpl14Ap and has similarity to rat L14 ribosomal protein"</t>
  </si>
  <si>
    <t>protein metabolism;other metabolic processes;other biological processes</t>
  </si>
  <si>
    <t>Pf01929</t>
  </si>
  <si>
    <t>856388</t>
  </si>
  <si>
    <t>K7_RPL14A; RPL14B; RPL14B_1</t>
  </si>
  <si>
    <t>A0A0L8VM44; A0A6C1DS32; A0A6L0YDM1; A0A815Z4C1; A6ZSQ1; B3LR79; C8ZA65; D3DKR3; G2WI26; N1P1G0; P38754; sce:YHL001W; YHL001W</t>
  </si>
  <si>
    <t>[R].QAINLGQVVLTPLTFALPR.[G]</t>
  </si>
  <si>
    <t>YHL001W [56-74]</t>
  </si>
  <si>
    <t>YNL178W</t>
  </si>
  <si>
    <t>RPS3 SGDID:S000005122, Chr XIV from 302682-303404, Verified ORF, "Protein component of the small (40S) ribosomal subunit, has apurinic/apyrimidinic (AP) endonuclease activity; essential for viability; has similarity to E. coli S3 and rat S3 ribosomal proteins"</t>
  </si>
  <si>
    <t>protein metabolism;other metabolic processes;transport</t>
  </si>
  <si>
    <t>cytosol;translational apparatus;nucleus;other cell component</t>
  </si>
  <si>
    <t>Pf00189, Pf07650</t>
  </si>
  <si>
    <t>855543</t>
  </si>
  <si>
    <t>K7_RPS3; RPS3; RPS3_1</t>
  </si>
  <si>
    <t>A0A0L8VJB6; A0A6A5Q3Q1; A0A6C1DZA1; A0A816ATB4; A6ZRQ7; B3LP29; B5VQM9; C7GTF2; C8ZG50; D6W107; G2WLT0; H0GMF0; N1NXR8; P05750; sce:YNL178W; YNL178W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</si>
  <si>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t>
  </si>
  <si>
    <t>[K].LVADGVFYAELNEFFTR.[E]</t>
  </si>
  <si>
    <t>YNL178W [11-27]</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</si>
  <si>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</si>
  <si>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</si>
  <si>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Pf00181, Pf03947</t>
  </si>
  <si>
    <t>850590; 854794</t>
  </si>
  <si>
    <t>K7_RPL2B; RPL2A; RPL2A_1; RPL2B</t>
  </si>
  <si>
    <t>A0A0L8VR97; A0A6C1DT40; A0A6L0Y8L2; A0A815YJ33; A6ZVP9; B3LUP0; C8Z7W6; D6VTR2; G2WGC6; N1P6U2; P05736; P0CX45; P0CX46; sce:YFR031C-A; sce:YIL018W; YIL018W</t>
  </si>
  <si>
    <t>[K].ASLNVGNVLPLGSVPEGTIVSNVEEKPGDR.[G]</t>
  </si>
  <si>
    <t>YIL018W [94-123]</t>
  </si>
  <si>
    <t>YBR181C</t>
  </si>
  <si>
    <t>RPS6B SGDID:S000000385, Chr II from 592769-592764,592411-591707, reverse complement, Verified ORF, "Protein component of the small (40S) ribosomal subunit; identical to Rps6Ap and has similarity to rat S6 ribosomal protein"</t>
  </si>
  <si>
    <t>protein metabolism;RNA metabolism OR transcription;other metabolic processes</t>
  </si>
  <si>
    <t>Pf01092</t>
  </si>
  <si>
    <t>852479; 856015</t>
  </si>
  <si>
    <t>K7_RPS6A; RPS6A; RPS6A_1; RPS6B</t>
  </si>
  <si>
    <t>A0A0L8VV29; A0A6C1DNK3; A0A6L1AMY1; A0A815WPT4; A6ZLC2; D3UES5; D6VQH5; G2WP91; P02365; P05751; P0CX37; P0CX38; Q02894; sce:YBR181C; sce:YPL090C; YBR181C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</si>
  <si>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 mTORC1-mediated signalling</t>
  </si>
  <si>
    <t>[R].GAIVGPDLAVLALVIVK.[K]</t>
  </si>
  <si>
    <t>YBR181C [99-115]</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</si>
  <si>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</si>
  <si>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</si>
  <si>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protein metabolism;RNA metabolism OR transcription;other metabolic processes;other biological processes</t>
  </si>
  <si>
    <t>Pf01248</t>
  </si>
  <si>
    <t>852853</t>
  </si>
  <si>
    <t>K7_RPL30; RPL30</t>
  </si>
  <si>
    <t>A0A815YP68; A6ZUW4; C8Z8L2; D6VUA8; G2WE64; P14120; sce:YGL030W; YGL030W</t>
  </si>
  <si>
    <t>[R].VGVVSILEAGDSDILTTLA.[-]</t>
  </si>
  <si>
    <t>YGL030W [87-105]</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</si>
  <si>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</si>
  <si>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</si>
  <si>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</si>
  <si>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</si>
  <si>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K7_RPL33A; RPL33A; RPL33A_1</t>
  </si>
  <si>
    <t>A0A6C1E250; A0A6L1C3H0; A0A816BEL4; A6ZWB1; C8ZIN6; D6W3M6; G2WP40; N1NVG1; P05744; sce:YPL143W; YPL143W</t>
  </si>
  <si>
    <t>[K].IEGVATPQDAQFYLGK.[R]</t>
  </si>
  <si>
    <t>YPL143W [32-47]</t>
  </si>
  <si>
    <t>ADH1_YEAST</t>
  </si>
  <si>
    <t>[K].VVGLSTLPEIYEK.[M]</t>
  </si>
  <si>
    <t>sp [320-332]</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</si>
  <si>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</si>
  <si>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</si>
  <si>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[R].LLAIMNPDVK.[I]</t>
  </si>
  <si>
    <t>YDL028C [663-672]</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</si>
  <si>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</si>
  <si>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</si>
  <si>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</si>
  <si>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Pf00012</t>
  </si>
  <si>
    <t>851369</t>
  </si>
  <si>
    <t>K7_SSB1; SSB1</t>
  </si>
  <si>
    <t>A0A0L8VS46; A0A6A5Q2N8; A0A815X720; A6ZXA5; B3LHA5; C8Z6P0; D6VRC7; G2WBU0; H0GS29; P11484; Q05834; sce:YDL229W; YDL229W</t>
  </si>
  <si>
    <t>[K].NIPMMPAGEPVLEAIFEVDANGILK.[V]</t>
  </si>
  <si>
    <t>2xOxidation [M4; M5]</t>
  </si>
  <si>
    <t>YDL229W [467-491]</t>
  </si>
  <si>
    <t>YIL144W</t>
  </si>
  <si>
    <t>TID3 SGDID:S000001406, Chr IX from 78074-80149, Verified ORF, "Component of the evolutionarily conserved kinetochore-associated Ndc80 complex (Ndc80p-Nuf2p-Spc24p-Spc25p); conserved coiled-coil protein involved in chromosome segregation, spindle checkpoint activity, kinetochore assembly and clustering"</t>
  </si>
  <si>
    <t>Pf03801, Pf18077</t>
  </si>
  <si>
    <t>854662</t>
  </si>
  <si>
    <t>NDC80</t>
  </si>
  <si>
    <t>D6VVE3; P40460; sce:YIL144W; YIL144W</t>
  </si>
  <si>
    <t>[K].INIQSSLENSENELGNVIEELR.[N]</t>
  </si>
  <si>
    <t>YIL144W [658-679]</t>
  </si>
  <si>
    <t>YGR034W</t>
  </si>
  <si>
    <t>RPL26B SGDID:S000003266, Chr VII from 555816-555834,556312-556676, Verified ORF, "Protein component of the large (60S) ribosomal subunit, nearly identical to Rpl26Ap and has similarity to E. coli L24 and rat L26 ribosomal proteins; binds to 5.8S rRNA"</t>
  </si>
  <si>
    <t>Pf00467, Pf16906</t>
  </si>
  <si>
    <t>852922</t>
  </si>
  <si>
    <t>K7_RPL26A; RPL26A; RPL26B; RPL26B_2</t>
  </si>
  <si>
    <t>A0A0L8VLA9; A0A6C1DX00; A0A6L1BJP2; A0A815YM34; A7A1M3; B3RHL4; C8Z8S9; D6VUH0; G2WJG3; N1P9U7; P53221; Q06HN2; Q45U50; sce:YGR034W; YGR034W</t>
  </si>
  <si>
    <t>[R].DDEVLVVR.[G]</t>
  </si>
  <si>
    <t>YGR034W [53-60]</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</si>
  <si>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</si>
  <si>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</si>
  <si>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</si>
  <si>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K7_SPC25; SPC25</t>
  </si>
  <si>
    <t>A6ZQW6; D3DLR6; G2WCQ0; N1P5R5; P40014; sce:YER018C; YER018C</t>
  </si>
  <si>
    <t>[R].QQLQQFQAEMR.[Q]</t>
  </si>
  <si>
    <t>YER018C [34-44]</t>
  </si>
  <si>
    <t>YPL036W</t>
  </si>
  <si>
    <t>PMA2 SGDID:S000005957, Chr XVI from 482841-485684, Verified ORF, "Plasma membrane H+-ATPase, isoform of Pma1p, involved in pumping protons out of the cell; regulator of cytoplasmic pH and plasma membrane potential"</t>
  </si>
  <si>
    <t>transport;other biological processes</t>
  </si>
  <si>
    <t>plasma membrane;other membranes</t>
  </si>
  <si>
    <t>transporter activity;other molecular function</t>
  </si>
  <si>
    <t>Pf00122, Pf00690, Pf00702</t>
  </si>
  <si>
    <t>856071</t>
  </si>
  <si>
    <t>PMA2</t>
  </si>
  <si>
    <t>D6W3X8; N1NVZ2; P19657; sce:YPL036W; YPL036W</t>
  </si>
  <si>
    <t>[R].SVEDFMAAMQR.[V]</t>
  </si>
  <si>
    <t>2xOxidation [M6; M9]</t>
  </si>
  <si>
    <t>YPL036W [928-938]</t>
  </si>
  <si>
    <t>YKL028W</t>
  </si>
  <si>
    <t>TFA1 SGDID:S000001511, Chr XI from 385401-386849, Verified ORF, "TFIIE large subunit, involved in recruitment of RNA polymerase II to the promoter, activation of TFIIH, and promoter opening"</t>
  </si>
  <si>
    <t>cell organization and biogenesis;protein metabolism;RNA metabolism OR transcription;other metabolic processes</t>
  </si>
  <si>
    <t>other membranes;nucleus;other cell component</t>
  </si>
  <si>
    <t>Pf02002, Pf08271</t>
  </si>
  <si>
    <t>853840</t>
  </si>
  <si>
    <t>TFA1</t>
  </si>
  <si>
    <t>A0A6A5PTU5; D6VXQ6; N1P0P6; P36100; sce:YKL028W; YKL028W</t>
  </si>
  <si>
    <t>RNA Polymerase II Pre-transcription Events; RNA polymerase II transcribes snRNA genes; RNA Polymerase II Promoter Escape; RNA Polymerase II Transcription Pre-Initiation And Promoter Opening; RNA Polymerase II Transcription Initiation</t>
  </si>
  <si>
    <t>Phospho [T403(100)]</t>
  </si>
  <si>
    <t>[K].EEEEEEEEEEDEEEEEEEEMEDVMDDNDETAR.[E]</t>
  </si>
  <si>
    <t>1xPhospho [T30(100)]</t>
  </si>
  <si>
    <t>YKL028W [374-405]</t>
  </si>
  <si>
    <t>YKL028W 1xPhospho [T403(100)]</t>
  </si>
  <si>
    <t>================================================================================</t>
  </si>
  <si>
    <t>Processing Step A: Workflow</t>
  </si>
  <si>
    <t>Result name: DM021122_030322_DM_1</t>
  </si>
  <si>
    <t>Result file: D:\dmallet\030222\DM021122_030222_PD2_5\DM021122_030322_DM_1.msf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</si>
  <si>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</si>
  <si>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</si>
  <si>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3/3/2022 12:45:05 PM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</si>
  <si>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</si>
  <si>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</si>
  <si>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</si>
  <si>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</si>
  <si>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</si>
  <si>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</si>
  <si>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</si>
  <si>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</si>
  <si>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</si>
  <si>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</si>
  <si>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</si>
  <si>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</si>
  <si>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</si>
  <si>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</si>
  <si>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</si>
  <si>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</si>
  <si>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</si>
  <si>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</si>
  <si>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</si>
  <si>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</si>
  <si>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</si>
  <si>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</si>
  <si>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</si>
  <si>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</si>
  <si>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</si>
  <si>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</si>
  <si>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</si>
  <si>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</si>
  <si>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</si>
  <si>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</si>
  <si>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</si>
  <si>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</si>
  <si>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</si>
  <si>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</si>
  <si>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</si>
  <si>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</si>
  <si>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</si>
  <si>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</si>
  <si>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</si>
  <si>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</si>
  <si>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</si>
  <si>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</si>
  <si>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</si>
  <si>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</si>
  <si>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</si>
  <si>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</si>
  <si>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</si>
  <si>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</si>
  <si>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</si>
  <si>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</si>
  <si>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</si>
  <si>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</si>
  <si>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</si>
  <si>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</si>
  <si>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</si>
  <si>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</si>
  <si>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</si>
  <si>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</si>
  <si>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</si>
  <si>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</si>
  <si>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</si>
  <si>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</si>
  <si>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</si>
  <si>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</si>
  <si>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</si>
  <si>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</si>
  <si>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</si>
  <si>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 Y)</t>
  </si>
  <si>
    <t>6. Dynamic Modifications (protein terminus):</t>
  </si>
  <si>
    <t>- 1. N-Terminal Modification:  Acetyl / +42.011 Da (N-Terminus)</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</si>
  <si>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</si>
  <si>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</si>
  <si>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</si>
  <si>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</si>
  <si>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</si>
  <si>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</si>
  <si>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</si>
  <si>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</si>
  <si>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</si>
  <si>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</si>
  <si>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</si>
  <si>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</si>
  <si>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</si>
  <si>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</si>
  <si>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</si>
  <si>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</si>
  <si>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</si>
  <si>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</si>
  <si>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</si>
  <si>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</si>
  <si>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</si>
  <si>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</si>
  <si>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D:\dmallet\030222\DM021122_030222_PD2_5\DM021122_030322_DM_1.msf</t>
  </si>
  <si>
    <t>(0) Spectrum Files RC:</t>
  </si>
  <si>
    <t>Start processing file F1: DM021122_030322_DM_1.raw...</t>
  </si>
  <si>
    <t>Retrieving 50620 spectra took 1 min 26 s</t>
  </si>
  <si>
    <t>There is already an adequate target FASTA index for cRAP_012915_NP(4f7e5b08-e338-4bd6-a9c0-abfe3f9944b3).fasta.</t>
  </si>
  <si>
    <t>There is already an adequate target FASTA index for SGDyeast_20080728(6941213d-9dcd-4eaf-ac7f-f51cfd65cf72).fasta.</t>
  </si>
  <si>
    <t>Start searching spectra (HCD (High Energy Collision Dissociation))...</t>
  </si>
  <si>
    <t>Ise (2.0.0.24, x64) started at 3/3/2022 12:46:35 PM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</si>
  <si>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</si>
  <si>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</si>
  <si>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</si>
  <si>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1.0 ms.</t>
  </si>
  <si>
    <t>Start reading spectrum results...</t>
  </si>
  <si>
    <t>Start calculating calibration...</t>
  </si>
  <si>
    <t>Processing file F1 took 2 min 24 s.</t>
  </si>
  <si>
    <t>-- Total execution of Spectrum Files RC (0) took 2 min 24 s --</t>
  </si>
  <si>
    <t>(1) Spectrum Selector:</t>
  </si>
  <si>
    <t>Profile spectra are not sent.</t>
  </si>
  <si>
    <t>Reading from file 1 of 1 F1: D:\dmallet\030222\DM021122_030322_DM_1.raw (70973 spectra total)</t>
  </si>
  <si>
    <t>(2) Sequest HT:</t>
  </si>
  <si>
    <t>Sequence Database: cRAP_012915_NP.fasta</t>
  </si>
  <si>
    <t>Sequence Database: SGDyeast_20080728.fasta</t>
  </si>
  <si>
    <t>Sent 43444 spectra from file F1.</t>
  </si>
  <si>
    <t>Sent 43444 spectra from 1 files (processing time: 1 min 29 s).</t>
  </si>
  <si>
    <t>-- Total execution of Spectrum Selector (1) took 4 min 6 s --</t>
  </si>
  <si>
    <t>Storing spectra took 2 min 34 s.</t>
  </si>
  <si>
    <t>Start Sequest HT target search for 43444 spectra (43444 precursors)...</t>
  </si>
  <si>
    <t>Ise (2.0.0.24, x64) started at 3/3/2022 12:51:39 PM on DESKTOP-2MISEU1 (x64) [36 CPUs] running Microsoft Windows NT 6.2.9200.0 (64bit) [.NET: 4.0.30319.42000]</t>
  </si>
  <si>
    <t>Average search time per spectrum was 1.7 ms.</t>
  </si>
  <si>
    <t>Performing target search took 1 min 17 s.</t>
  </si>
  <si>
    <t>Stored 63263 PSMs for 43444 spectra</t>
  </si>
  <si>
    <t>Discarded 164799 peptide(s) that did not match the conditions for protein terminal modifications.</t>
  </si>
  <si>
    <t>Reading search results took 6.1 s.</t>
  </si>
  <si>
    <t>Saving results took 5.7 s.</t>
  </si>
  <si>
    <t>Saving proteins took 1.4 s.</t>
  </si>
  <si>
    <t>Reading results took 13.5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</si>
  <si>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</si>
  <si>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</si>
  <si>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43444 spectra (43444 precursors)...</t>
  </si>
  <si>
    <t>Ise (2.0.0.24, x64) started at 3/3/2022 12:53:09 PM on DESKTOP-2MISEU1 (x64) [36 CPUs] running Microsoft Windows NT 6.2.9200.0 (64bit) [.NET: 4.0.30319.42000]</t>
  </si>
  <si>
    <t>Average search time per spectrum was 1.5 ms.</t>
  </si>
  <si>
    <t>Performing decoy search took 1 min 6 s.</t>
  </si>
  <si>
    <t>Stored 126703 decoy PSMs for 43444 spectra</t>
  </si>
  <si>
    <t>Discarded 166930 peptide(s) that did not match the conditions for protein terminal modifications.</t>
  </si>
  <si>
    <t>Reading search results took 6.9 s.</t>
  </si>
  <si>
    <t>Saving results took 6 s.</t>
  </si>
  <si>
    <t>Saving proteins took 1 s.</t>
  </si>
  <si>
    <t>Reading results took 14.1 s.</t>
  </si>
  <si>
    <t>Finalizing search results...</t>
  </si>
  <si>
    <t>-- Total search time was 2 min 53 s --</t>
  </si>
  <si>
    <t>(4) Percolator:</t>
  </si>
  <si>
    <t>Creating percolator input file with results from Sequest HT (2) took 1 min 9 s.</t>
  </si>
  <si>
    <t>The input file contains 34512 PSMs, 33361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</si>
  <si>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</si>
  <si>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</si>
  <si>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</si>
  <si>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</si>
  <si>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</si>
  <si>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</si>
  <si>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2.5\Scratch\Job3217\Percol(4)\output2.xml -N 0 -Z -Y C:\ProgramData\Thermo\Proteome Discoverer 2.5\Scratch\Job3217\Percol(4)\input2.tab</t>
  </si>
  <si>
    <t>Started Thu Mar  3 12:56:04 2022</t>
  </si>
  <si>
    <t>Hyperparameters: selectionFdr=0.01, Cpos=0, Cneg=0, maxNiter=10</t>
  </si>
  <si>
    <t>Reading tab-delimited input from datafile C:\ProgramData\Thermo\Proteome Discoverer 2.5\Scratch\Job3217\Percol(4)\input2.tab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</si>
  <si>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</si>
  <si>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</si>
  <si>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67873 PSMs</t>
  </si>
  <si>
    <t>Separate target and decoy search inputs detected, using target-decoy competition on Percolator scores.</t>
  </si>
  <si>
    <t>Train/test set contains 34512 positives and 33361 negatives, size ratio=1.0345 and pi0=1</t>
  </si>
  <si>
    <t>Selecting Cpos by cross-validation.</t>
  </si>
  <si>
    <t>Selecting Cneg by cross-validation.</t>
  </si>
  <si>
    <t>Split 1:</t>
  </si>
  <si>
    <t>Selected feature 22 as initial direction. Could separate 271 training set positives with q&lt;0.01 in that direction.</t>
  </si>
  <si>
    <t>Split 2:</t>
  </si>
  <si>
    <t>Selected feature 26 as initial direction. Could separate 286 training set positives with q&lt;0.01 in that direction.</t>
  </si>
  <si>
    <t>Split 3:</t>
  </si>
  <si>
    <t>Selected feature 26 as initial direction. Could separate 292 training set positives with q&lt;0.01 in that direction.</t>
  </si>
  <si>
    <t>Found 245 test set positives with q&lt;0.01 in initial direction</t>
  </si>
  <si>
    <t>Reading in data and feature calculation took 1.527 cpu seconds or 2 seconds wall clock time.</t>
  </si>
  <si>
    <t>---Training with Cpos selected by cross validation, Cneg selected by cross validation, initial_fdr=0.01, fdr=0.01</t>
  </si>
  <si>
    <t>Iteration 1:</t>
  </si>
  <si>
    <t>Estimated 861 PSMs with q&lt;0.01</t>
  </si>
  <si>
    <t>Iteration 2:</t>
  </si>
  <si>
    <t>Estimated 915 PSMs with q&lt;0.01</t>
  </si>
  <si>
    <t>Iteration 3:</t>
  </si>
  <si>
    <t>Estimated 931 PSMs with q&lt;0.01</t>
  </si>
  <si>
    <t>Iteration 4:</t>
  </si>
  <si>
    <t>Estimated 942 PSMs with q&lt;0.01</t>
  </si>
  <si>
    <t>Iteration 5:</t>
  </si>
  <si>
    <t>Estimated 956 PSMs with q&lt;0.01</t>
  </si>
  <si>
    <t>Iteration 6:</t>
  </si>
  <si>
    <t>Estimated 962 PSMs with q&lt;0.01</t>
  </si>
  <si>
    <t>Iteration 7:</t>
  </si>
  <si>
    <t>Estimated 973 PSMs with q&lt;0.01</t>
  </si>
  <si>
    <t>Iteration 8:</t>
  </si>
  <si>
    <t>Estimated 975 PSMs with q&lt;0.01</t>
  </si>
  <si>
    <t>Iteration 9:</t>
  </si>
  <si>
    <t>Estimated 972 PSMs with q&lt;0.01</t>
  </si>
  <si>
    <t>Iteration 10:</t>
  </si>
  <si>
    <t>Estimated 976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</si>
  <si>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</si>
  <si>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</si>
  <si>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</si>
  <si>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</si>
  <si>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</si>
  <si>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</si>
  <si>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</si>
  <si>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</si>
  <si>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</si>
  <si>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</si>
  <si>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</si>
  <si>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</si>
  <si>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</si>
  <si>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</si>
  <si>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</si>
  <si>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</si>
  <si>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</si>
  <si>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</si>
  <si>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</si>
  <si>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</si>
  <si>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</si>
  <si>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</si>
  <si>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</si>
  <si>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</si>
  <si>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</si>
  <si>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</si>
  <si>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</si>
  <si>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</si>
  <si>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</si>
  <si>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</si>
  <si>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</si>
  <si>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</si>
  <si>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</si>
  <si>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</si>
  <si>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</si>
  <si>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</si>
  <si>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</si>
  <si>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797 test set PSMs with q&lt;0.01.</t>
  </si>
  <si>
    <t>Selected best-scoring PSM per scan+expMass (target-decoy competition): 20600 target PSMs and 19594 decoy PSMs.</t>
  </si>
  <si>
    <t>Tossing out "redundant" PSMs keeping only the best scoring PSM for each unique peptide.</t>
  </si>
  <si>
    <t>Calculating q values.</t>
  </si>
  <si>
    <t>Final list yields 191 target peptides with q&lt;0.01.</t>
  </si>
  <si>
    <t>Calculating posterior error probabilities (PEPs).</t>
  </si>
  <si>
    <t>PSMId</t>
  </si>
  <si>
    <t>score</t>
  </si>
  <si>
    <t>q-value</t>
  </si>
  <si>
    <t>posterior_error_prob</t>
  </si>
  <si>
    <t>peptide</t>
  </si>
  <si>
    <t>proteinIds</t>
  </si>
  <si>
    <t>Processing took 7.583 cpu seconds or 7 seconds wall clock time.</t>
  </si>
  <si>
    <t>819/7 high confident target/decoy peptides were found for Sequest HT (2).</t>
  </si>
  <si>
    <t>171/41 medium confident target/decoy peptides were found for Sequest HT (2).</t>
  </si>
  <si>
    <t>-- Total execution of Percolator (64Bit) for Sequest HT (2) took 1 min 22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</si>
  <si>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</si>
  <si>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</si>
  <si>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</si>
  <si>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</si>
  <si>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</si>
  <si>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</si>
  <si>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Localizing 1xPhospho, elementTarget: Y (delta mass: 79.9663, no neutral loss)</t>
  </si>
  <si>
    <t>(5) FITs for CID_CAD: b, y; FITs with NLs: no</t>
  </si>
  <si>
    <t>(5) FITs for HCD: b, y; FITs with NLs: b, y</t>
  </si>
  <si>
    <t>(5) FITs for ECD_ETD: c, zRadical, zPrime; FITs with NLs: no</t>
  </si>
  <si>
    <t>(5) FITs for EThcD: b, y, c, zRadical, zPrime; FITs with NLs: b, y</t>
  </si>
  <si>
    <t xml:space="preserve">(5) Workload level: #spectra: 43444. </t>
  </si>
  <si>
    <t xml:space="preserve">(5) Workload level: #spectra per package: 43444. </t>
  </si>
  <si>
    <t xml:space="preserve">(5) Workload level: #parallel tasks: 36. </t>
  </si>
  <si>
    <t>Writing current ptmRS results to file. Puffer has following size 30000</t>
  </si>
  <si>
    <t>(5) Finished collecting spectra</t>
  </si>
  <si>
    <t>Writing current ptmRS results to file. Puffer has following size 18205</t>
  </si>
  <si>
    <t>-- Total execution of IMP-ptmRS (5) took 3 min 24 s --</t>
  </si>
  <si>
    <t>Finished D:\dmallet\030222\DM021122_030222_PD2_5\DM021122_030322_DM_1.msf</t>
  </si>
  <si>
    <t>----- Total Job execution took: 14 min 35 s. -----</t>
  </si>
  <si>
    <t>Consensus Step : Workflow</t>
  </si>
  <si>
    <t>Result file: D:\dmallet\030222\DM021122_030222_PD2_5\DM021122_030322_DM_1.pdResult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</si>
  <si>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</si>
  <si>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</si>
  <si>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3/3/2022 12:45:07 PM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</si>
  <si>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</si>
  <si>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</si>
  <si>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</si>
  <si>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</si>
  <si>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</si>
  <si>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</si>
  <si>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</si>
  <si>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</si>
  <si>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</si>
  <si>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</si>
  <si>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</si>
  <si>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</si>
  <si>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</si>
  <si>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</si>
  <si>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</si>
  <si>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</si>
  <si>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</si>
  <si>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</si>
  <si>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</si>
  <si>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</si>
  <si>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</si>
  <si>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</si>
  <si>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</si>
  <si>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</si>
  <si>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</si>
  <si>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</si>
  <si>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</si>
  <si>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</si>
  <si>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</si>
  <si>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</si>
  <si>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</si>
  <si>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</si>
  <si>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</si>
  <si>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</si>
  <si>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</si>
  <si>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</si>
  <si>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</si>
  <si>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</si>
  <si>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</si>
  <si>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</si>
  <si>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</si>
  <si>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</si>
  <si>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</si>
  <si>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</si>
  <si>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</si>
  <si>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</si>
  <si>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</si>
  <si>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</si>
  <si>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</si>
  <si>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</si>
  <si>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</si>
  <si>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</si>
  <si>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</si>
  <si>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</si>
  <si>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</si>
  <si>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</si>
  <si>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</si>
  <si>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</si>
  <si>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</si>
  <si>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</si>
  <si>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</si>
  <si>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</si>
  <si>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</si>
  <si>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</si>
  <si>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</si>
  <si>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</si>
  <si>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</si>
  <si>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</si>
  <si>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</si>
  <si>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</si>
  <si>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</si>
  <si>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</si>
  <si>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</si>
  <si>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</si>
  <si>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</si>
  <si>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</si>
  <si>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</si>
  <si>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</si>
  <si>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</si>
  <si>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</si>
  <si>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</si>
  <si>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D:\dmallet\030222\DM021122_030222_PD2_5\DM021122_030322_DM_1.pdResult</t>
  </si>
  <si>
    <t>(0) MSF Files:</t>
  </si>
  <si>
    <t>D:\dmallet\030222\DM021122_030222_PD2_5\DM021122_030322_DM_1.msf</t>
  </si>
  <si>
    <t>All 1 files are ready for processing.</t>
  </si>
  <si>
    <t>Start transferring results of 1 msf files...</t>
  </si>
  <si>
    <t>Transferred 4876 Proteins to result file in 1.1 s.</t>
  </si>
  <si>
    <t>Transferred 4854 Decoy Proteins to result file in 935.5 ms.</t>
  </si>
  <si>
    <t>Added 40194 Mass Spectra to result file.</t>
  </si>
  <si>
    <t>Added 2 traces to result file.</t>
  </si>
  <si>
    <t>Added 1 Input Files to result file.</t>
  </si>
  <si>
    <t>Added 20771 PSMs to result file.</t>
  </si>
  <si>
    <t>Added 19741 Decoy PSMs to result file.</t>
  </si>
  <si>
    <t>Added 43444 MS/MS Spectrum Info to result file.</t>
  </si>
  <si>
    <t>Added 43444 Precursors to result file.</t>
  </si>
  <si>
    <t>Added 1 Mass Recalibrations to result file.</t>
  </si>
  <si>
    <t>Added 700 Correction Landmarks to result file.</t>
  </si>
  <si>
    <t>Added 2 Specialized Traces to result file.</t>
  </si>
  <si>
    <t>Copying data took 13.9 s.</t>
  </si>
  <si>
    <t>Finding unique sequences took 1.3 s.</t>
  </si>
  <si>
    <t>Filtering proteins took 127.3 ms.</t>
  </si>
  <si>
    <t>-- Total execution of MSF Files (0) took 22.6 s --</t>
  </si>
  <si>
    <t>(1) PSM Grouper:</t>
  </si>
  <si>
    <t>Grouping 'PSMs'</t>
  </si>
  <si>
    <t>Found 17569 Peptide Groups.</t>
  </si>
  <si>
    <t>Grouping 'Decoy PSMs'</t>
  </si>
  <si>
    <t>Found 17326 Decoy Peptide Groups.</t>
  </si>
  <si>
    <t>-- Total execution of PSM Grouper (1) took 23.8 s --</t>
  </si>
  <si>
    <t>(2) Peptide Validator:</t>
  </si>
  <si>
    <t>Start PSM and Peptide validation in 'Automatic (Control peptide level error rate if possible)' mode...</t>
  </si>
  <si>
    <t>Updated PSM confidences in 400.7 ms.</t>
  </si>
  <si>
    <t>Use svm score for 'peptide' qvality run.</t>
  </si>
  <si>
    <t>Updated peptide confidences using qvality in 4.1 s.</t>
  </si>
  <si>
    <t>Calculating Mascot thresholds.</t>
  </si>
  <si>
    <t>-- Total execution of Peptide Validator (2) took 4.7 s --</t>
  </si>
  <si>
    <t>(3) Peptide and Protein Filter:</t>
  </si>
  <si>
    <t>Filter Peptide Groups</t>
  </si>
  <si>
    <t>Filter 193/17569 Peptide Groups (17376 excluded) and 804/20771 PSMs (19967 excluded) took 735.6 ms</t>
  </si>
  <si>
    <t>Filtering Proteins</t>
  </si>
  <si>
    <t>Filter 81/4876 Proteins (4795 excluded) took 133.1 ms</t>
  </si>
  <si>
    <t>Filter Decoy Peptide Groups</t>
  </si>
  <si>
    <t>Filter 0/17326 Decoy Peptide Groups (17326 excluded) and 0/19741 Decoy PSMs (19741 excluded) took 612.5 ms</t>
  </si>
  <si>
    <t>Filtering Decoy Proteins</t>
  </si>
  <si>
    <t>Filter 0/4854 Decoy Proteins (4854 excluded) took 115.5 ms</t>
  </si>
  <si>
    <t>Updating counts took 3.1 s.</t>
  </si>
  <si>
    <t>-- Total execution of Peptide and Protein Filter (3) took 4.9 s --</t>
  </si>
  <si>
    <t>(4) Protein Scorer:</t>
  </si>
  <si>
    <t>Calculating Coverage and Counts</t>
  </si>
  <si>
    <t>Calculated counts and coverages in 85.5 ms.</t>
  </si>
  <si>
    <t>Scoring target proteins</t>
  </si>
  <si>
    <t>Scored 81 proteins in 99.2 ms.</t>
  </si>
  <si>
    <t>Scoring decoy proteins</t>
  </si>
  <si>
    <t>Scored 0 decoy proteins in 43.2 ms.</t>
  </si>
  <si>
    <t>-- Total execution of Protein Scorer (4) took 273.1 ms --</t>
  </si>
  <si>
    <t>(8) Protein FDR Validator:</t>
  </si>
  <si>
    <t>Apply confidences based on protein scores of 81 proteins.</t>
  </si>
  <si>
    <t>Cannot validate proteins because all decoy proteins were filtered out.</t>
  </si>
  <si>
    <t>-- Total execution of Protein FDR Validator (8) took 19.2 ms --</t>
  </si>
  <si>
    <t>(5) Protein Grouping:</t>
  </si>
  <si>
    <t>Retrieving 52 protein groups took 5.1 ms.</t>
  </si>
  <si>
    <t>Storing, updating and connecting protein groups, PSMs and peptides took 1.5 s.</t>
  </si>
  <si>
    <t>Check 52 protein groups.</t>
  </si>
  <si>
    <t>Applying strict parsimony took 662.3 ms.</t>
  </si>
  <si>
    <t>Found 52 protein groups.</t>
  </si>
  <si>
    <t>Storing, updating and connecting protein groups, PSMs and peptides took 327.9 ms.</t>
  </si>
  <si>
    <t>Found 0 decoy protein groups.</t>
  </si>
  <si>
    <t>-- Total execution of Protein Grouping (5) took 2.8 s --</t>
  </si>
  <si>
    <t>(9) Peptide Isoform Grouper:</t>
  </si>
  <si>
    <t>Grouping PSMs by modification isoform</t>
  </si>
  <si>
    <t>Found 195 Peptide Isoforms.</t>
  </si>
  <si>
    <t>Found 0 Decoy Peptide Isoforms.</t>
  </si>
  <si>
    <t>-- Total execution of Peptide Isoform Grouper (9) took 22.1 s --</t>
  </si>
  <si>
    <t>(6) Modification Sites:</t>
  </si>
  <si>
    <t>Start extracting Modification Sites.</t>
  </si>
  <si>
    <t>Extracting Modification Sites</t>
  </si>
  <si>
    <t>Annotated PSMs/peptides for 81 proteins.</t>
  </si>
  <si>
    <t>Start connecting Modification Sites with PSMs.</t>
  </si>
  <si>
    <t>Connecting Modification Sites</t>
  </si>
  <si>
    <t>Connected Modification sites with PSMs and Peptide Groups for 81 proteins.</t>
  </si>
  <si>
    <t>Connected Modification sites with PTM Peptide Groups for 81 proteins.</t>
  </si>
  <si>
    <t>-- Total execution of Modification Sites (6) took 917.5 ms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</si>
  <si>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</si>
  <si>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</si>
  <si>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</si>
  <si>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</si>
  <si>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</si>
  <si>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</si>
  <si>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1.9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</si>
  <si>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</si>
  <si>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</si>
  <si>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</si>
  <si>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</si>
  <si>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</si>
  <si>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</si>
  <si>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</si>
  <si>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81 of 81 proteins.</t>
  </si>
  <si>
    <t>Found 1086 annotation groups.</t>
  </si>
  <si>
    <t>Found 49 pathway groups.</t>
  </si>
  <si>
    <t>Calculating associated data for annotation and pathway groups.</t>
  </si>
  <si>
    <t>Preparing the annotation and pathway groups for result file</t>
  </si>
  <si>
    <t>-- Total execution of Protein Annotation (10) took 8.5 s --</t>
  </si>
  <si>
    <t>(12) Result Statistics:</t>
  </si>
  <si>
    <t>-- Total execution of Result Statistics (12) took 502.3 ms --</t>
  </si>
  <si>
    <t>(11) Display Settings:</t>
  </si>
  <si>
    <t>Applying display filter and layout</t>
  </si>
  <si>
    <t>-- Total execution of Display Settings (11) took 25.9 ms --</t>
  </si>
  <si>
    <t>(13) Data Distributions:</t>
  </si>
  <si>
    <t>Calculating found for samples</t>
  </si>
  <si>
    <t>Calculating found for sample groups</t>
  </si>
  <si>
    <t>-- Total execution of Data Distributions (13) took 342.9 ms --</t>
  </si>
  <si>
    <t>Finalizing file took 5 s.</t>
  </si>
  <si>
    <t>Finished D:\dmallet\030222\DM021122_030222_PD2_5\DM021122_030322_DM_1.pdResult</t>
  </si>
  <si>
    <t>----- Total Job execution took: 1 min 38 s. -----</t>
  </si>
  <si>
    <t>Protein Accessions</t>
  </si>
  <si>
    <t>Gene</t>
  </si>
  <si>
    <t>MAD2</t>
  </si>
  <si>
    <t>ENO2</t>
  </si>
  <si>
    <t>TUB2</t>
  </si>
  <si>
    <t>PDC1</t>
  </si>
  <si>
    <t>SPC24</t>
  </si>
  <si>
    <t>TEF1</t>
  </si>
  <si>
    <t>CDC19</t>
  </si>
  <si>
    <t>NSL1</t>
  </si>
  <si>
    <t>MTW1</t>
  </si>
  <si>
    <t>HHF1</t>
  </si>
  <si>
    <t>TDH3</t>
  </si>
  <si>
    <t>HTA2</t>
  </si>
  <si>
    <t>RPL25</t>
  </si>
  <si>
    <t>SOD2</t>
  </si>
  <si>
    <t>PGK1</t>
  </si>
  <si>
    <t>HTB2</t>
  </si>
  <si>
    <t>CSE4</t>
  </si>
  <si>
    <t>RPL20A</t>
  </si>
  <si>
    <t>MCM21</t>
  </si>
  <si>
    <t>SEC23</t>
  </si>
  <si>
    <t>STU2</t>
  </si>
  <si>
    <t>RPL14B</t>
  </si>
  <si>
    <t>RPS3</t>
  </si>
  <si>
    <t>RPL2A</t>
  </si>
  <si>
    <t>RPS6A</t>
  </si>
  <si>
    <t>RPL30</t>
  </si>
  <si>
    <t>RPL33A</t>
  </si>
  <si>
    <t>SSB1</t>
  </si>
  <si>
    <t>RPL26A</t>
  </si>
  <si>
    <t>SPC25</t>
  </si>
  <si>
    <t>Desc</t>
  </si>
  <si>
    <t>SAC</t>
  </si>
  <si>
    <t>MAP</t>
  </si>
  <si>
    <t>Spc105c</t>
  </si>
  <si>
    <t>MT</t>
  </si>
  <si>
    <t>Ndc80c</t>
  </si>
  <si>
    <t>MIND</t>
  </si>
  <si>
    <t>Histone</t>
  </si>
  <si>
    <t>Ndc10</t>
  </si>
  <si>
    <t>Metabolism</t>
  </si>
  <si>
    <t>COMA</t>
  </si>
  <si>
    <t>COPII</t>
  </si>
  <si>
    <t>Ribosome</t>
  </si>
  <si>
    <t>Proton pump</t>
  </si>
  <si>
    <t>Transcription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</si>
</sst>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7">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xf numFmtId="0" fontId="0" fillId="0"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 data'!$B$1</c:f>
              <c:strCache>
                <c:ptCount val="1"/>
                <c:pt idx="0">
                  <c:v># PSMs</c:v>
                </c:pt>
              </c:strCache>
            </c:strRef>
          </c:tx>
          <c:spPr>
            <a:solidFill>
              <a:schemeClr val="accent1"/>
            </a:solidFill>
            <a:ln>
              <a:noFill/>
            </a:ln>
            <a:effectLst/>
          </c:spPr>
          <c:invertIfNegative val="0"/>
          <c:cat>
            <c:strRef>
              <c:f>'visual data'!$A$2:$A$44</c:f>
              <c:strCache>
                <c:ptCount val="43"/>
                <c:pt idx="0">
                  <c:v>MAD1</c:v>
                </c:pt>
                <c:pt idx="1">
                  <c:v>STU1</c:v>
                </c:pt>
                <c:pt idx="2">
                  <c:v>SLK19</c:v>
                </c:pt>
                <c:pt idx="3">
                  <c:v>BUB3</c:v>
                </c:pt>
                <c:pt idx="4">
                  <c:v>MAD2</c:v>
                </c:pt>
                <c:pt idx="5">
                  <c:v>SPC105</c:v>
                </c:pt>
                <c:pt idx="6">
                  <c:v>ENO2</c:v>
                </c:pt>
                <c:pt idx="7">
                  <c:v>TUB2</c:v>
                </c:pt>
                <c:pt idx="8">
                  <c:v>PDC1</c:v>
                </c:pt>
                <c:pt idx="9">
                  <c:v>CDC19</c:v>
                </c:pt>
                <c:pt idx="10">
                  <c:v>SPC24</c:v>
                </c:pt>
                <c:pt idx="11">
                  <c:v>NUF2</c:v>
                </c:pt>
                <c:pt idx="12">
                  <c:v>KRE28</c:v>
                </c:pt>
                <c:pt idx="13">
                  <c:v>HHF1</c:v>
                </c:pt>
                <c:pt idx="14">
                  <c:v>NNF1</c:v>
                </c:pt>
                <c:pt idx="15">
                  <c:v>NSL1</c:v>
                </c:pt>
                <c:pt idx="16">
                  <c:v>TEF1</c:v>
                </c:pt>
                <c:pt idx="17">
                  <c:v>RPL25</c:v>
                </c:pt>
                <c:pt idx="18">
                  <c:v>TDH3</c:v>
                </c:pt>
                <c:pt idx="19">
                  <c:v>PGK1</c:v>
                </c:pt>
                <c:pt idx="20">
                  <c:v>MTW1</c:v>
                </c:pt>
                <c:pt idx="21">
                  <c:v>CBF2</c:v>
                </c:pt>
                <c:pt idx="22">
                  <c:v>HTA2</c:v>
                </c:pt>
                <c:pt idx="23">
                  <c:v>HTB2</c:v>
                </c:pt>
                <c:pt idx="24">
                  <c:v>CSE4</c:v>
                </c:pt>
                <c:pt idx="25">
                  <c:v>SOD2</c:v>
                </c:pt>
                <c:pt idx="26">
                  <c:v>FBA1</c:v>
                </c:pt>
                <c:pt idx="27">
                  <c:v>RPL20A</c:v>
                </c:pt>
                <c:pt idx="28">
                  <c:v>MCM21</c:v>
                </c:pt>
                <c:pt idx="29">
                  <c:v>SEC23</c:v>
                </c:pt>
                <c:pt idx="30">
                  <c:v>STU2</c:v>
                </c:pt>
                <c:pt idx="31">
                  <c:v>NDC80</c:v>
                </c:pt>
                <c:pt idx="32">
                  <c:v>SPC25</c:v>
                </c:pt>
                <c:pt idx="33">
                  <c:v>PMA2</c:v>
                </c:pt>
                <c:pt idx="34">
                  <c:v>RPL14B</c:v>
                </c:pt>
                <c:pt idx="35">
                  <c:v>RPS3</c:v>
                </c:pt>
                <c:pt idx="36">
                  <c:v>RPL2A</c:v>
                </c:pt>
                <c:pt idx="37">
                  <c:v>RPS6A</c:v>
                </c:pt>
                <c:pt idx="38">
                  <c:v>RPL30</c:v>
                </c:pt>
                <c:pt idx="39">
                  <c:v>RPL33A</c:v>
                </c:pt>
                <c:pt idx="40">
                  <c:v>SSB1</c:v>
                </c:pt>
                <c:pt idx="41">
                  <c:v>RPL26A</c:v>
                </c:pt>
                <c:pt idx="42">
                  <c:v>TFA1</c:v>
                </c:pt>
              </c:strCache>
            </c:strRef>
          </c:cat>
          <c:val>
            <c:numRef>
              <c:f>'visual data'!$B$2:$B$44</c:f>
              <c:numCache>
                <c:formatCode>General</c:formatCode>
                <c:ptCount val="43"/>
                <c:pt idx="0">
                  <c:v>187</c:v>
                </c:pt>
                <c:pt idx="1">
                  <c:v>155</c:v>
                </c:pt>
                <c:pt idx="2">
                  <c:v>74</c:v>
                </c:pt>
                <c:pt idx="3">
                  <c:v>62</c:v>
                </c:pt>
                <c:pt idx="4">
                  <c:v>29</c:v>
                </c:pt>
                <c:pt idx="5">
                  <c:v>17</c:v>
                </c:pt>
                <c:pt idx="6">
                  <c:v>15</c:v>
                </c:pt>
                <c:pt idx="7">
                  <c:v>14</c:v>
                </c:pt>
                <c:pt idx="8">
                  <c:v>7</c:v>
                </c:pt>
                <c:pt idx="9">
                  <c:v>6</c:v>
                </c:pt>
                <c:pt idx="10">
                  <c:v>6</c:v>
                </c:pt>
                <c:pt idx="11">
                  <c:v>6</c:v>
                </c:pt>
                <c:pt idx="12">
                  <c:v>6</c:v>
                </c:pt>
                <c:pt idx="13">
                  <c:v>5</c:v>
                </c:pt>
                <c:pt idx="14">
                  <c:v>5</c:v>
                </c:pt>
                <c:pt idx="15">
                  <c:v>5</c:v>
                </c:pt>
                <c:pt idx="16">
                  <c:v>5</c:v>
                </c:pt>
                <c:pt idx="17">
                  <c:v>5</c:v>
                </c:pt>
                <c:pt idx="18">
                  <c:v>4</c:v>
                </c:pt>
                <c:pt idx="19">
                  <c:v>4</c:v>
                </c:pt>
                <c:pt idx="20">
                  <c:v>4</c:v>
                </c:pt>
                <c:pt idx="21">
                  <c:v>4</c:v>
                </c:pt>
                <c:pt idx="22">
                  <c:v>3</c:v>
                </c:pt>
                <c:pt idx="23">
                  <c:v>3</c:v>
                </c:pt>
                <c:pt idx="24">
                  <c:v>3</c:v>
                </c:pt>
                <c:pt idx="25">
                  <c:v>3</c:v>
                </c:pt>
                <c:pt idx="26">
                  <c:v>2</c:v>
                </c:pt>
                <c:pt idx="27">
                  <c:v>2</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numCache>
            </c:numRef>
          </c:val>
          <c:extLst>
            <c:ext xmlns:c16="http://schemas.microsoft.com/office/drawing/2014/chart" uri="{C3380CC4-5D6E-409C-BE32-E72D297353CC}">
              <c16:uniqueId val="{00000000-F354-564A-9E03-9760F4665EC7}"/>
            </c:ext>
          </c:extLst>
        </c:ser>
        <c:dLbls>
          <c:showLegendKey val="0"/>
          <c:showVal val="0"/>
          <c:showCatName val="0"/>
          <c:showSerName val="0"/>
          <c:showPercent val="0"/>
          <c:showBubbleSize val="0"/>
        </c:dLbls>
        <c:gapWidth val="219"/>
        <c:overlap val="-27"/>
        <c:axId val="298359407"/>
        <c:axId val="298022847"/>
      </c:barChart>
      <c:catAx>
        <c:axId val="2983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98022847"/>
        <c:crosses val="autoZero"/>
        <c:auto val="1"/>
        <c:lblAlgn val="ctr"/>
        <c:lblOffset val="100"/>
        <c:noMultiLvlLbl val="0"/>
      </c:catAx>
      <c:valAx>
        <c:axId val="29802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9835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 data'!$F$1</c:f>
              <c:strCache>
                <c:ptCount val="1"/>
                <c:pt idx="0">
                  <c:v># PSMs</c:v>
                </c:pt>
              </c:strCache>
            </c:strRef>
          </c:tx>
          <c:spPr>
            <a:solidFill>
              <a:schemeClr val="accent1"/>
            </a:solidFill>
            <a:ln>
              <a:noFill/>
            </a:ln>
            <a:effectLst/>
          </c:spPr>
          <c:invertIfNegative val="0"/>
          <c:cat>
            <c:strRef>
              <c:f>'visual data'!$E$2:$E$44</c:f>
              <c:strCache>
                <c:ptCount val="43"/>
                <c:pt idx="0">
                  <c:v>MAD1</c:v>
                </c:pt>
                <c:pt idx="1">
                  <c:v>BUB3</c:v>
                </c:pt>
                <c:pt idx="2">
                  <c:v>MAD2</c:v>
                </c:pt>
                <c:pt idx="3">
                  <c:v>STU1</c:v>
                </c:pt>
                <c:pt idx="4">
                  <c:v>SLK19</c:v>
                </c:pt>
                <c:pt idx="5">
                  <c:v>STU2</c:v>
                </c:pt>
                <c:pt idx="6">
                  <c:v>TUB2</c:v>
                </c:pt>
                <c:pt idx="7">
                  <c:v>SPC105</c:v>
                </c:pt>
                <c:pt idx="8">
                  <c:v>KRE28</c:v>
                </c:pt>
                <c:pt idx="9">
                  <c:v>SPC24</c:v>
                </c:pt>
                <c:pt idx="10">
                  <c:v>NUF2</c:v>
                </c:pt>
                <c:pt idx="11">
                  <c:v>NDC80</c:v>
                </c:pt>
                <c:pt idx="12">
                  <c:v>SPC25</c:v>
                </c:pt>
                <c:pt idx="13">
                  <c:v>NNF1</c:v>
                </c:pt>
                <c:pt idx="14">
                  <c:v>NSL1</c:v>
                </c:pt>
                <c:pt idx="15">
                  <c:v>MTW1</c:v>
                </c:pt>
                <c:pt idx="16">
                  <c:v>HHF1</c:v>
                </c:pt>
                <c:pt idx="17">
                  <c:v>HTA2</c:v>
                </c:pt>
                <c:pt idx="18">
                  <c:v>HTB2</c:v>
                </c:pt>
                <c:pt idx="19">
                  <c:v>CSE4</c:v>
                </c:pt>
                <c:pt idx="20">
                  <c:v>CBF2</c:v>
                </c:pt>
                <c:pt idx="21">
                  <c:v>MCM21</c:v>
                </c:pt>
                <c:pt idx="22">
                  <c:v>ENO2</c:v>
                </c:pt>
                <c:pt idx="23">
                  <c:v>PDC1</c:v>
                </c:pt>
                <c:pt idx="24">
                  <c:v>CDC19</c:v>
                </c:pt>
                <c:pt idx="25">
                  <c:v>TDH3</c:v>
                </c:pt>
                <c:pt idx="26">
                  <c:v>PGK1</c:v>
                </c:pt>
                <c:pt idx="27">
                  <c:v>SOD2</c:v>
                </c:pt>
                <c:pt idx="28">
                  <c:v>FBA1</c:v>
                </c:pt>
                <c:pt idx="29">
                  <c:v>TEF1</c:v>
                </c:pt>
                <c:pt idx="30">
                  <c:v>RPL25</c:v>
                </c:pt>
                <c:pt idx="31">
                  <c:v>RPL20A</c:v>
                </c:pt>
                <c:pt idx="32">
                  <c:v>RPL14B</c:v>
                </c:pt>
                <c:pt idx="33">
                  <c:v>RPS3</c:v>
                </c:pt>
                <c:pt idx="34">
                  <c:v>RPL2A</c:v>
                </c:pt>
                <c:pt idx="35">
                  <c:v>RPS6A</c:v>
                </c:pt>
                <c:pt idx="36">
                  <c:v>RPL30</c:v>
                </c:pt>
                <c:pt idx="37">
                  <c:v>RPL33A</c:v>
                </c:pt>
                <c:pt idx="38">
                  <c:v>SSB1</c:v>
                </c:pt>
                <c:pt idx="39">
                  <c:v>PMA2</c:v>
                </c:pt>
                <c:pt idx="40">
                  <c:v>PMA2</c:v>
                </c:pt>
                <c:pt idx="41">
                  <c:v>TFA1</c:v>
                </c:pt>
                <c:pt idx="42">
                  <c:v>SEC23</c:v>
                </c:pt>
              </c:strCache>
            </c:strRef>
          </c:cat>
          <c:val>
            <c:numRef>
              <c:f>'visual data'!$F$2:$F$44</c:f>
              <c:numCache>
                <c:formatCode>General</c:formatCode>
                <c:ptCount val="43"/>
                <c:pt idx="0">
                  <c:v>187</c:v>
                </c:pt>
                <c:pt idx="1">
                  <c:v>62</c:v>
                </c:pt>
                <c:pt idx="2">
                  <c:v>29</c:v>
                </c:pt>
                <c:pt idx="3">
                  <c:v>155</c:v>
                </c:pt>
                <c:pt idx="4">
                  <c:v>74</c:v>
                </c:pt>
                <c:pt idx="5">
                  <c:v>1</c:v>
                </c:pt>
                <c:pt idx="6">
                  <c:v>14</c:v>
                </c:pt>
                <c:pt idx="7">
                  <c:v>17</c:v>
                </c:pt>
                <c:pt idx="8">
                  <c:v>6</c:v>
                </c:pt>
                <c:pt idx="9">
                  <c:v>6</c:v>
                </c:pt>
                <c:pt idx="10">
                  <c:v>6</c:v>
                </c:pt>
                <c:pt idx="11">
                  <c:v>1</c:v>
                </c:pt>
                <c:pt idx="12">
                  <c:v>1</c:v>
                </c:pt>
                <c:pt idx="13">
                  <c:v>5</c:v>
                </c:pt>
                <c:pt idx="14">
                  <c:v>5</c:v>
                </c:pt>
                <c:pt idx="15">
                  <c:v>4</c:v>
                </c:pt>
                <c:pt idx="16">
                  <c:v>5</c:v>
                </c:pt>
                <c:pt idx="17">
                  <c:v>3</c:v>
                </c:pt>
                <c:pt idx="18">
                  <c:v>3</c:v>
                </c:pt>
                <c:pt idx="19">
                  <c:v>3</c:v>
                </c:pt>
                <c:pt idx="20">
                  <c:v>4</c:v>
                </c:pt>
                <c:pt idx="21">
                  <c:v>1</c:v>
                </c:pt>
                <c:pt idx="22">
                  <c:v>15</c:v>
                </c:pt>
                <c:pt idx="23">
                  <c:v>7</c:v>
                </c:pt>
                <c:pt idx="24">
                  <c:v>6</c:v>
                </c:pt>
                <c:pt idx="25">
                  <c:v>4</c:v>
                </c:pt>
                <c:pt idx="26">
                  <c:v>4</c:v>
                </c:pt>
                <c:pt idx="27">
                  <c:v>3</c:v>
                </c:pt>
                <c:pt idx="28">
                  <c:v>2</c:v>
                </c:pt>
                <c:pt idx="29">
                  <c:v>5</c:v>
                </c:pt>
                <c:pt idx="30">
                  <c:v>5</c:v>
                </c:pt>
                <c:pt idx="31">
                  <c:v>2</c:v>
                </c:pt>
                <c:pt idx="32">
                  <c:v>1</c:v>
                </c:pt>
                <c:pt idx="33">
                  <c:v>1</c:v>
                </c:pt>
                <c:pt idx="34">
                  <c:v>1</c:v>
                </c:pt>
                <c:pt idx="35">
                  <c:v>1</c:v>
                </c:pt>
                <c:pt idx="36">
                  <c:v>1</c:v>
                </c:pt>
                <c:pt idx="37">
                  <c:v>1</c:v>
                </c:pt>
                <c:pt idx="38">
                  <c:v>1</c:v>
                </c:pt>
                <c:pt idx="39">
                  <c:v>1</c:v>
                </c:pt>
                <c:pt idx="40">
                  <c:v>1</c:v>
                </c:pt>
                <c:pt idx="41">
                  <c:v>1</c:v>
                </c:pt>
                <c:pt idx="42">
                  <c:v>1</c:v>
                </c:pt>
              </c:numCache>
            </c:numRef>
          </c:val>
          <c:extLst>
            <c:ext xmlns:c16="http://schemas.microsoft.com/office/drawing/2014/chart" uri="{C3380CC4-5D6E-409C-BE32-E72D297353CC}">
              <c16:uniqueId val="{00000000-4EFD-3243-8462-F8FDB19011E1}"/>
            </c:ext>
          </c:extLst>
        </c:ser>
        <c:dLbls>
          <c:showLegendKey val="0"/>
          <c:showVal val="0"/>
          <c:showCatName val="0"/>
          <c:showSerName val="0"/>
          <c:showPercent val="0"/>
          <c:showBubbleSize val="0"/>
        </c:dLbls>
        <c:gapWidth val="219"/>
        <c:overlap val="-27"/>
        <c:axId val="196176847"/>
        <c:axId val="196527599"/>
      </c:barChart>
      <c:catAx>
        <c:axId val="19617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527599"/>
        <c:crosses val="autoZero"/>
        <c:auto val="1"/>
        <c:lblAlgn val="ctr"/>
        <c:lblOffset val="100"/>
        <c:noMultiLvlLbl val="0"/>
      </c:catAx>
      <c:valAx>
        <c:axId val="19652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17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292100</xdr:colOff>
      <xdr:row>3</xdr:row>
      <xdr:rowOff>127000</xdr:rowOff>
    </xdr:from>
    <xdr:to>
      <xdr:col>29</xdr:col>
      <xdr:colOff>520700</xdr:colOff>
      <xdr:row>35</xdr:row>
      <xdr:rowOff>152400</xdr:rowOff>
    </xdr:to>
    <xdr:graphicFrame macro="">
      <xdr:nvGraphicFramePr>
        <xdr:cNvPr id="4" name="Chart 3">
          <a:extLst>
            <a:ext uri="{FF2B5EF4-FFF2-40B4-BE49-F238E27FC236}">
              <a16:creationId xmlns:a16="http://schemas.microsoft.com/office/drawing/2014/main" id="{B8FC41AC-809F-EB42-A8E8-3948E569E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660400</xdr:colOff>
      <xdr:row>38</xdr:row>
      <xdr:rowOff>25400</xdr:rowOff>
    </xdr:from>
    <xdr:to>
      <xdr:col>23</xdr:col>
      <xdr:colOff>571500</xdr:colOff>
      <xdr:row>65</xdr:row>
      <xdr:rowOff>50800</xdr:rowOff>
    </xdr:to>
    <xdr:graphicFrame macro="">
      <xdr:nvGraphicFramePr>
        <xdr:cNvPr id="5" name="Chart 4">
          <a:extLst>
            <a:ext uri="{FF2B5EF4-FFF2-40B4-BE49-F238E27FC236}">
              <a16:creationId xmlns:a16="http://schemas.microsoft.com/office/drawing/2014/main" id="{39CD545F-362C-A647-9222-F081D0CE0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298"/>
  <sheetViews>
    <sheetView topLeftCell="D1" workbookViewId="0">
      <selection activeCell="S1" activeCellId="53" sqref="G1:G2 G33 G67 G76 G96 G112 G121 G127 G135 G142 G148 G156 G160 G165 G168 G173 G179 G182 G187 G191 G195 G198 G202 G206 G209 G213 G217 G220 G224 G228 G232 G235 G238 G242 G245 G248 G251 G254 G257 G260 G263 G266 G269 G272 G275 G278 G281 G284 G287 G290 G293 G296 G299:G1048576 S1:S2 S33 S67 S76 S96 S112 S121 S127 S135 S142 S148 S156 S160 S165 S168 S173 S179 S182 S187 S191 S195 S198 S202 S206 S209 S213 S217 S220 S224 S228 S232 S235 S238 S242 S245 S248 S251 S254 S257 S260 S263 S266 S269 S272 S275 S278 S281 S284 S287 S290 S293 S296 S299:S1048576"/>
    </sheetView>
  </sheetViews>
  <sheetFormatPr baseColWidth="10" defaultColWidth="8.83203125" defaultRowHeight="15" outlineLevelRow="1" x14ac:dyDescent="0.2"/>
  <cols>
    <col min="1" max="1" width="14.1640625" customWidth="1"/>
    <col min="2" max="2" width="19.33203125" customWidth="1"/>
    <col min="3" max="3" width="100.5" customWidth="1"/>
    <col min="4" max="4" width="41.66406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ollapsed="1" x14ac:dyDescent="0.2">
      <c r="A2" s="3" t="s">
        <v>27</v>
      </c>
      <c r="B2" s="3" t="s">
        <v>28</v>
      </c>
      <c r="C2" s="3" t="s">
        <v>29</v>
      </c>
      <c r="D2" s="3">
        <v>46</v>
      </c>
      <c r="E2" s="3">
        <v>28</v>
      </c>
      <c r="F2" s="3">
        <v>31</v>
      </c>
      <c r="G2" s="3">
        <v>187</v>
      </c>
      <c r="H2" s="3">
        <v>28</v>
      </c>
      <c r="I2" s="3">
        <v>749</v>
      </c>
      <c r="J2" s="3">
        <v>87.6</v>
      </c>
      <c r="K2" s="3">
        <v>5.44</v>
      </c>
      <c r="L2" s="3">
        <v>654.24</v>
      </c>
      <c r="M2" s="3">
        <v>28</v>
      </c>
      <c r="N2" s="3" t="s">
        <v>30</v>
      </c>
      <c r="O2" s="3" t="s">
        <v>31</v>
      </c>
      <c r="P2" s="3" t="s">
        <v>32</v>
      </c>
      <c r="Q2" s="3" t="s">
        <v>33</v>
      </c>
      <c r="R2" s="3" t="s">
        <v>34</v>
      </c>
      <c r="S2" s="3" t="s">
        <v>35</v>
      </c>
      <c r="T2" s="3" t="s">
        <v>36</v>
      </c>
      <c r="U2" s="3" t="s">
        <v>37</v>
      </c>
      <c r="V2" s="3" t="s">
        <v>37</v>
      </c>
      <c r="W2" s="3" t="s">
        <v>37</v>
      </c>
      <c r="X2" s="3">
        <v>0</v>
      </c>
      <c r="Y2" s="3" t="s">
        <v>38</v>
      </c>
      <c r="Z2" s="3">
        <v>1</v>
      </c>
      <c r="AA2" s="3" t="s">
        <v>39</v>
      </c>
    </row>
    <row r="3" spans="1:27" hidden="1" outlineLevel="1" collapsed="1" x14ac:dyDescent="0.2">
      <c r="A3" t="s">
        <v>37</v>
      </c>
      <c r="B3" s="2" t="s">
        <v>40</v>
      </c>
      <c r="C3" s="2" t="s">
        <v>41</v>
      </c>
      <c r="D3" s="2" t="s">
        <v>26</v>
      </c>
      <c r="E3" s="2" t="s">
        <v>42</v>
      </c>
      <c r="F3" s="2" t="s">
        <v>43</v>
      </c>
      <c r="G3" s="2" t="s">
        <v>25</v>
      </c>
      <c r="H3" s="2" t="s">
        <v>44</v>
      </c>
      <c r="I3" s="2" t="s">
        <v>5</v>
      </c>
      <c r="J3" s="2" t="s">
        <v>6</v>
      </c>
      <c r="K3" s="2" t="s">
        <v>45</v>
      </c>
      <c r="L3" s="2" t="s">
        <v>46</v>
      </c>
      <c r="M3" s="2" t="s">
        <v>47</v>
      </c>
      <c r="N3" s="2" t="s">
        <v>48</v>
      </c>
      <c r="O3" s="2" t="s">
        <v>49</v>
      </c>
      <c r="P3" s="2" t="s">
        <v>24</v>
      </c>
      <c r="Q3" s="2" t="s">
        <v>50</v>
      </c>
      <c r="R3" s="2" t="s">
        <v>51</v>
      </c>
      <c r="S3" s="2" t="s">
        <v>52</v>
      </c>
      <c r="T3" s="2" t="s">
        <v>53</v>
      </c>
    </row>
    <row r="4" spans="1:27" hidden="1" outlineLevel="1" collapsed="1" x14ac:dyDescent="0.2">
      <c r="A4" t="s">
        <v>37</v>
      </c>
      <c r="B4" s="4" t="s">
        <v>38</v>
      </c>
      <c r="C4" s="4" t="s">
        <v>54</v>
      </c>
      <c r="D4" s="4" t="s">
        <v>37</v>
      </c>
      <c r="E4" s="4">
        <v>0.24144499999999999</v>
      </c>
      <c r="F4" s="4">
        <v>5.0826200000000004E-3</v>
      </c>
      <c r="G4" s="4">
        <v>1</v>
      </c>
      <c r="H4" s="4">
        <v>1</v>
      </c>
      <c r="I4" s="4">
        <v>1</v>
      </c>
      <c r="J4" s="4">
        <v>3</v>
      </c>
      <c r="K4" s="4" t="s">
        <v>28</v>
      </c>
      <c r="L4" s="4" t="s">
        <v>55</v>
      </c>
      <c r="M4" s="4" t="s">
        <v>37</v>
      </c>
      <c r="N4" s="4">
        <v>1</v>
      </c>
      <c r="O4" s="4">
        <v>1307.6994099999999</v>
      </c>
      <c r="P4" s="4" t="s">
        <v>38</v>
      </c>
      <c r="Q4" s="4" t="s">
        <v>38</v>
      </c>
      <c r="R4" s="4">
        <v>1.3159999999999999E-3</v>
      </c>
      <c r="S4" s="4">
        <v>9.6390000000000003E-2</v>
      </c>
      <c r="T4" s="4">
        <v>2.34</v>
      </c>
    </row>
    <row r="5" spans="1:27" hidden="1" outlineLevel="1" collapsed="1" x14ac:dyDescent="0.2">
      <c r="A5" t="s">
        <v>37</v>
      </c>
      <c r="B5" s="4" t="s">
        <v>38</v>
      </c>
      <c r="C5" s="4" t="s">
        <v>56</v>
      </c>
      <c r="D5" s="4" t="s">
        <v>57</v>
      </c>
      <c r="E5" s="4">
        <v>5.7049599999999999E-2</v>
      </c>
      <c r="F5" s="4">
        <v>5.0826200000000004E-3</v>
      </c>
      <c r="G5" s="4">
        <v>1</v>
      </c>
      <c r="H5" s="4">
        <v>1</v>
      </c>
      <c r="I5" s="4">
        <v>1</v>
      </c>
      <c r="J5" s="4">
        <v>4</v>
      </c>
      <c r="K5" s="4" t="s">
        <v>28</v>
      </c>
      <c r="L5" s="4" t="s">
        <v>58</v>
      </c>
      <c r="M5" s="4" t="s">
        <v>37</v>
      </c>
      <c r="N5" s="4">
        <v>0</v>
      </c>
      <c r="O5" s="4">
        <v>1022.48229</v>
      </c>
      <c r="P5" s="4" t="s">
        <v>38</v>
      </c>
      <c r="Q5" s="4" t="s">
        <v>38</v>
      </c>
      <c r="R5" s="4">
        <v>1.3159999999999999E-3</v>
      </c>
      <c r="S5" s="4">
        <v>1.17E-2</v>
      </c>
      <c r="T5" s="4">
        <v>1.92</v>
      </c>
    </row>
    <row r="6" spans="1:27" hidden="1" outlineLevel="1" collapsed="1" x14ac:dyDescent="0.2">
      <c r="A6" t="s">
        <v>37</v>
      </c>
      <c r="B6" s="4" t="s">
        <v>38</v>
      </c>
      <c r="C6" s="4" t="s">
        <v>59</v>
      </c>
      <c r="D6" s="4" t="s">
        <v>60</v>
      </c>
      <c r="E6" s="4">
        <v>1.9877200000000001E-2</v>
      </c>
      <c r="F6" s="4">
        <v>5.0826200000000004E-3</v>
      </c>
      <c r="G6" s="4">
        <v>1</v>
      </c>
      <c r="H6" s="4">
        <v>1</v>
      </c>
      <c r="I6" s="4">
        <v>1</v>
      </c>
      <c r="J6" s="4">
        <v>10</v>
      </c>
      <c r="K6" s="4" t="s">
        <v>28</v>
      </c>
      <c r="L6" s="4" t="s">
        <v>61</v>
      </c>
      <c r="M6" s="4" t="s">
        <v>37</v>
      </c>
      <c r="N6" s="4">
        <v>1</v>
      </c>
      <c r="O6" s="4">
        <v>2016.95426</v>
      </c>
      <c r="P6" s="4" t="s">
        <v>38</v>
      </c>
      <c r="Q6" s="4" t="s">
        <v>38</v>
      </c>
      <c r="R6" s="4">
        <v>1.3159999999999999E-3</v>
      </c>
      <c r="S6" s="4">
        <v>2.6359999999999999E-3</v>
      </c>
      <c r="T6" s="4">
        <v>3.12</v>
      </c>
    </row>
    <row r="7" spans="1:27" hidden="1" outlineLevel="1" collapsed="1" x14ac:dyDescent="0.2">
      <c r="A7" t="s">
        <v>37</v>
      </c>
      <c r="B7" s="4" t="s">
        <v>38</v>
      </c>
      <c r="C7" s="4" t="s">
        <v>62</v>
      </c>
      <c r="D7" s="4" t="s">
        <v>60</v>
      </c>
      <c r="E7" s="4">
        <v>7.4492899999999997E-4</v>
      </c>
      <c r="F7" s="4">
        <v>5.0826200000000004E-3</v>
      </c>
      <c r="G7" s="4">
        <v>1</v>
      </c>
      <c r="H7" s="4">
        <v>1</v>
      </c>
      <c r="I7" s="4">
        <v>1</v>
      </c>
      <c r="J7" s="4">
        <v>3</v>
      </c>
      <c r="K7" s="4" t="s">
        <v>28</v>
      </c>
      <c r="L7" s="4" t="s">
        <v>63</v>
      </c>
      <c r="M7" s="4" t="s">
        <v>37</v>
      </c>
      <c r="N7" s="4">
        <v>0</v>
      </c>
      <c r="O7" s="4">
        <v>1646.8054099999999</v>
      </c>
      <c r="P7" s="4" t="s">
        <v>38</v>
      </c>
      <c r="Q7" s="4" t="s">
        <v>38</v>
      </c>
      <c r="R7" s="4">
        <v>1.3159999999999999E-3</v>
      </c>
      <c r="S7" s="4">
        <v>2.6449999999999999E-5</v>
      </c>
      <c r="T7" s="4">
        <v>4.5599999999999996</v>
      </c>
    </row>
    <row r="8" spans="1:27" hidden="1" outlineLevel="1" collapsed="1" x14ac:dyDescent="0.2">
      <c r="A8" t="s">
        <v>37</v>
      </c>
      <c r="B8" s="4" t="s">
        <v>38</v>
      </c>
      <c r="C8" s="4" t="s">
        <v>64</v>
      </c>
      <c r="D8" s="4" t="s">
        <v>60</v>
      </c>
      <c r="E8" s="4">
        <v>1.8794700000000001E-2</v>
      </c>
      <c r="F8" s="4">
        <v>5.0826200000000004E-3</v>
      </c>
      <c r="G8" s="4">
        <v>1</v>
      </c>
      <c r="H8" s="4">
        <v>1</v>
      </c>
      <c r="I8" s="4">
        <v>1</v>
      </c>
      <c r="J8" s="4">
        <v>12</v>
      </c>
      <c r="K8" s="4" t="s">
        <v>28</v>
      </c>
      <c r="L8" s="4" t="s">
        <v>65</v>
      </c>
      <c r="M8" s="4" t="s">
        <v>37</v>
      </c>
      <c r="N8" s="4">
        <v>1</v>
      </c>
      <c r="O8" s="4">
        <v>1774.9003700000001</v>
      </c>
      <c r="P8" s="4" t="s">
        <v>38</v>
      </c>
      <c r="Q8" s="4" t="s">
        <v>38</v>
      </c>
      <c r="R8" s="4">
        <v>1.3159999999999999E-3</v>
      </c>
      <c r="S8" s="4">
        <v>2.4380000000000001E-3</v>
      </c>
      <c r="T8" s="4">
        <v>4.32</v>
      </c>
    </row>
    <row r="9" spans="1:27" hidden="1" outlineLevel="1" collapsed="1" x14ac:dyDescent="0.2">
      <c r="A9" t="s">
        <v>37</v>
      </c>
      <c r="B9" s="4" t="s">
        <v>38</v>
      </c>
      <c r="C9" s="4" t="s">
        <v>66</v>
      </c>
      <c r="D9" s="4" t="s">
        <v>37</v>
      </c>
      <c r="E9" s="4">
        <v>0.174572</v>
      </c>
      <c r="F9" s="4">
        <v>5.0826200000000004E-3</v>
      </c>
      <c r="G9" s="4">
        <v>1</v>
      </c>
      <c r="H9" s="4">
        <v>1</v>
      </c>
      <c r="I9" s="4">
        <v>1</v>
      </c>
      <c r="J9" s="4">
        <v>6</v>
      </c>
      <c r="K9" s="4" t="s">
        <v>28</v>
      </c>
      <c r="L9" s="4" t="s">
        <v>67</v>
      </c>
      <c r="M9" s="4" t="s">
        <v>37</v>
      </c>
      <c r="N9" s="4">
        <v>1</v>
      </c>
      <c r="O9" s="4">
        <v>1286.69506</v>
      </c>
      <c r="P9" s="4" t="s">
        <v>38</v>
      </c>
      <c r="Q9" s="4" t="s">
        <v>38</v>
      </c>
      <c r="R9" s="4">
        <v>1.3159999999999999E-3</v>
      </c>
      <c r="S9" s="4">
        <v>5.9119999999999999E-2</v>
      </c>
      <c r="T9" s="4">
        <v>2.15</v>
      </c>
    </row>
    <row r="10" spans="1:27" hidden="1" outlineLevel="1" collapsed="1" x14ac:dyDescent="0.2">
      <c r="A10" t="s">
        <v>37</v>
      </c>
      <c r="B10" s="4" t="s">
        <v>38</v>
      </c>
      <c r="C10" s="4" t="s">
        <v>68</v>
      </c>
      <c r="D10" s="4" t="s">
        <v>37</v>
      </c>
      <c r="E10" s="4">
        <v>6.72388E-4</v>
      </c>
      <c r="F10" s="4">
        <v>5.0826200000000004E-3</v>
      </c>
      <c r="G10" s="4">
        <v>1</v>
      </c>
      <c r="H10" s="4">
        <v>1</v>
      </c>
      <c r="I10" s="4">
        <v>1</v>
      </c>
      <c r="J10" s="4">
        <v>7</v>
      </c>
      <c r="K10" s="4" t="s">
        <v>28</v>
      </c>
      <c r="L10" s="4" t="s">
        <v>69</v>
      </c>
      <c r="M10" s="4" t="s">
        <v>37</v>
      </c>
      <c r="N10" s="4">
        <v>0</v>
      </c>
      <c r="O10" s="4">
        <v>2974.4024599999998</v>
      </c>
      <c r="P10" s="4" t="s">
        <v>38</v>
      </c>
      <c r="Q10" s="4" t="s">
        <v>38</v>
      </c>
      <c r="R10" s="4">
        <v>1.3159999999999999E-3</v>
      </c>
      <c r="S10" s="4">
        <v>2.2889999999999999E-5</v>
      </c>
      <c r="T10" s="4">
        <v>6.04</v>
      </c>
    </row>
    <row r="11" spans="1:27" hidden="1" outlineLevel="1" collapsed="1" x14ac:dyDescent="0.2">
      <c r="A11" t="s">
        <v>37</v>
      </c>
      <c r="B11" s="4" t="s">
        <v>38</v>
      </c>
      <c r="C11" s="4" t="s">
        <v>70</v>
      </c>
      <c r="D11" s="4" t="s">
        <v>37</v>
      </c>
      <c r="E11" s="4">
        <v>1.84876E-2</v>
      </c>
      <c r="F11" s="4">
        <v>5.0826200000000004E-3</v>
      </c>
      <c r="G11" s="4">
        <v>1</v>
      </c>
      <c r="H11" s="4">
        <v>1</v>
      </c>
      <c r="I11" s="4">
        <v>1</v>
      </c>
      <c r="J11" s="4">
        <v>6</v>
      </c>
      <c r="K11" s="4" t="s">
        <v>28</v>
      </c>
      <c r="L11" s="4" t="s">
        <v>71</v>
      </c>
      <c r="M11" s="4" t="s">
        <v>37</v>
      </c>
      <c r="N11" s="4">
        <v>1</v>
      </c>
      <c r="O11" s="4">
        <v>1973.98867</v>
      </c>
      <c r="P11" s="4" t="s">
        <v>38</v>
      </c>
      <c r="Q11" s="4" t="s">
        <v>38</v>
      </c>
      <c r="R11" s="4">
        <v>1.3159999999999999E-3</v>
      </c>
      <c r="S11" s="4">
        <v>2.3869999999999998E-3</v>
      </c>
      <c r="T11" s="4">
        <v>4.84</v>
      </c>
    </row>
    <row r="12" spans="1:27" hidden="1" outlineLevel="1" collapsed="1" x14ac:dyDescent="0.2">
      <c r="A12" t="s">
        <v>37</v>
      </c>
      <c r="B12" s="4" t="s">
        <v>38</v>
      </c>
      <c r="C12" s="4" t="s">
        <v>72</v>
      </c>
      <c r="D12" s="4" t="s">
        <v>37</v>
      </c>
      <c r="E12" s="4">
        <v>7.6110200000000003E-2</v>
      </c>
      <c r="F12" s="4">
        <v>5.0826200000000004E-3</v>
      </c>
      <c r="G12" s="4">
        <v>1</v>
      </c>
      <c r="H12" s="4">
        <v>1</v>
      </c>
      <c r="I12" s="4">
        <v>1</v>
      </c>
      <c r="J12" s="4">
        <v>4</v>
      </c>
      <c r="K12" s="4" t="s">
        <v>28</v>
      </c>
      <c r="L12" s="4" t="s">
        <v>73</v>
      </c>
      <c r="M12" s="4" t="s">
        <v>37</v>
      </c>
      <c r="N12" s="4">
        <v>1</v>
      </c>
      <c r="O12" s="4">
        <v>1622.8496600000001</v>
      </c>
      <c r="P12" s="4" t="s">
        <v>38</v>
      </c>
      <c r="Q12" s="4" t="s">
        <v>38</v>
      </c>
      <c r="R12" s="4">
        <v>1.3159999999999999E-3</v>
      </c>
      <c r="S12" s="4">
        <v>1.7610000000000001E-2</v>
      </c>
      <c r="T12" s="4">
        <v>3.38</v>
      </c>
    </row>
    <row r="13" spans="1:27" hidden="1" outlineLevel="1" collapsed="1" x14ac:dyDescent="0.2">
      <c r="A13" t="s">
        <v>37</v>
      </c>
      <c r="B13" s="4" t="s">
        <v>38</v>
      </c>
      <c r="C13" s="4" t="s">
        <v>74</v>
      </c>
      <c r="D13" s="4" t="s">
        <v>37</v>
      </c>
      <c r="E13" s="4">
        <v>1.32493E-2</v>
      </c>
      <c r="F13" s="4">
        <v>5.0826200000000004E-3</v>
      </c>
      <c r="G13" s="4">
        <v>1</v>
      </c>
      <c r="H13" s="4">
        <v>1</v>
      </c>
      <c r="I13" s="4">
        <v>1</v>
      </c>
      <c r="J13" s="4">
        <v>8</v>
      </c>
      <c r="K13" s="4" t="s">
        <v>28</v>
      </c>
      <c r="L13" s="4" t="s">
        <v>75</v>
      </c>
      <c r="M13" s="4" t="s">
        <v>37</v>
      </c>
      <c r="N13" s="4">
        <v>2</v>
      </c>
      <c r="O13" s="4">
        <v>1996.16887</v>
      </c>
      <c r="P13" s="4" t="s">
        <v>38</v>
      </c>
      <c r="Q13" s="4" t="s">
        <v>38</v>
      </c>
      <c r="R13" s="4">
        <v>1.3159999999999999E-3</v>
      </c>
      <c r="S13" s="4">
        <v>1.4940000000000001E-3</v>
      </c>
      <c r="T13" s="4">
        <v>4.3499999999999996</v>
      </c>
    </row>
    <row r="14" spans="1:27" hidden="1" outlineLevel="1" collapsed="1" x14ac:dyDescent="0.2">
      <c r="A14" t="s">
        <v>37</v>
      </c>
      <c r="B14" s="4" t="s">
        <v>38</v>
      </c>
      <c r="C14" s="4" t="s">
        <v>76</v>
      </c>
      <c r="D14" s="4" t="s">
        <v>77</v>
      </c>
      <c r="E14" s="4">
        <v>2.5691800000000001E-2</v>
      </c>
      <c r="F14" s="4">
        <v>5.0826200000000004E-3</v>
      </c>
      <c r="G14" s="4">
        <v>1</v>
      </c>
      <c r="H14" s="4">
        <v>1</v>
      </c>
      <c r="I14" s="4">
        <v>1</v>
      </c>
      <c r="J14" s="4">
        <v>9</v>
      </c>
      <c r="K14" s="4" t="s">
        <v>28</v>
      </c>
      <c r="L14" s="4" t="s">
        <v>78</v>
      </c>
      <c r="M14" s="4" t="s">
        <v>37</v>
      </c>
      <c r="N14" s="4">
        <v>0</v>
      </c>
      <c r="O14" s="4">
        <v>1219.59871</v>
      </c>
      <c r="P14" s="4" t="s">
        <v>38</v>
      </c>
      <c r="Q14" s="4" t="s">
        <v>38</v>
      </c>
      <c r="R14" s="4">
        <v>1.3159999999999999E-3</v>
      </c>
      <c r="S14" s="4">
        <v>3.7919999999999998E-3</v>
      </c>
      <c r="T14" s="4">
        <v>3.03</v>
      </c>
    </row>
    <row r="15" spans="1:27" hidden="1" outlineLevel="1" collapsed="1" x14ac:dyDescent="0.2">
      <c r="A15" t="s">
        <v>37</v>
      </c>
      <c r="B15" s="4" t="s">
        <v>38</v>
      </c>
      <c r="C15" s="4" t="s">
        <v>79</v>
      </c>
      <c r="D15" s="4" t="s">
        <v>37</v>
      </c>
      <c r="E15" s="4">
        <v>2.10282E-3</v>
      </c>
      <c r="F15" s="4">
        <v>5.0826200000000004E-3</v>
      </c>
      <c r="G15" s="4">
        <v>1</v>
      </c>
      <c r="H15" s="4">
        <v>1</v>
      </c>
      <c r="I15" s="4">
        <v>1</v>
      </c>
      <c r="J15" s="4">
        <v>7</v>
      </c>
      <c r="K15" s="4" t="s">
        <v>28</v>
      </c>
      <c r="L15" s="4" t="s">
        <v>80</v>
      </c>
      <c r="M15" s="4" t="s">
        <v>37</v>
      </c>
      <c r="N15" s="4">
        <v>0</v>
      </c>
      <c r="O15" s="4">
        <v>1845.8937100000001</v>
      </c>
      <c r="P15" s="4" t="s">
        <v>38</v>
      </c>
      <c r="Q15" s="4" t="s">
        <v>38</v>
      </c>
      <c r="R15" s="4">
        <v>1.3159999999999999E-3</v>
      </c>
      <c r="S15" s="4">
        <v>1.1290000000000001E-4</v>
      </c>
      <c r="T15" s="4">
        <v>5.05</v>
      </c>
    </row>
    <row r="16" spans="1:27" hidden="1" outlineLevel="1" collapsed="1" x14ac:dyDescent="0.2">
      <c r="A16" t="s">
        <v>37</v>
      </c>
      <c r="B16" s="4" t="s">
        <v>38</v>
      </c>
      <c r="C16" s="4" t="s">
        <v>81</v>
      </c>
      <c r="D16" s="4" t="s">
        <v>37</v>
      </c>
      <c r="E16" s="4">
        <v>1.9879300000000002E-3</v>
      </c>
      <c r="F16" s="4">
        <v>5.0826200000000004E-3</v>
      </c>
      <c r="G16" s="4">
        <v>1</v>
      </c>
      <c r="H16" s="4">
        <v>1</v>
      </c>
      <c r="I16" s="4">
        <v>1</v>
      </c>
      <c r="J16" s="4">
        <v>5</v>
      </c>
      <c r="K16" s="4" t="s">
        <v>28</v>
      </c>
      <c r="L16" s="4" t="s">
        <v>82</v>
      </c>
      <c r="M16" s="4" t="s">
        <v>37</v>
      </c>
      <c r="N16" s="4">
        <v>0</v>
      </c>
      <c r="O16" s="4">
        <v>1500.8016500000001</v>
      </c>
      <c r="P16" s="4" t="s">
        <v>38</v>
      </c>
      <c r="Q16" s="4" t="s">
        <v>38</v>
      </c>
      <c r="R16" s="4">
        <v>1.3159999999999999E-3</v>
      </c>
      <c r="S16" s="4">
        <v>1.044E-4</v>
      </c>
      <c r="T16" s="4">
        <v>4.45</v>
      </c>
    </row>
    <row r="17" spans="1:20" hidden="1" outlineLevel="1" collapsed="1" x14ac:dyDescent="0.2">
      <c r="A17" t="s">
        <v>37</v>
      </c>
      <c r="B17" s="4" t="s">
        <v>38</v>
      </c>
      <c r="C17" s="4" t="s">
        <v>83</v>
      </c>
      <c r="D17" s="4" t="s">
        <v>37</v>
      </c>
      <c r="E17" s="4">
        <v>1.19601E-2</v>
      </c>
      <c r="F17" s="4">
        <v>5.0826200000000004E-3</v>
      </c>
      <c r="G17" s="4">
        <v>1</v>
      </c>
      <c r="H17" s="4">
        <v>1</v>
      </c>
      <c r="I17" s="4">
        <v>1</v>
      </c>
      <c r="J17" s="4">
        <v>5</v>
      </c>
      <c r="K17" s="4" t="s">
        <v>28</v>
      </c>
      <c r="L17" s="4" t="s">
        <v>84</v>
      </c>
      <c r="M17" s="4" t="s">
        <v>37</v>
      </c>
      <c r="N17" s="4">
        <v>0</v>
      </c>
      <c r="O17" s="4">
        <v>1493.74821</v>
      </c>
      <c r="P17" s="4" t="s">
        <v>38</v>
      </c>
      <c r="Q17" s="4" t="s">
        <v>38</v>
      </c>
      <c r="R17" s="4">
        <v>1.3159999999999999E-3</v>
      </c>
      <c r="S17" s="4">
        <v>1.2930000000000001E-3</v>
      </c>
      <c r="T17" s="4">
        <v>4.09</v>
      </c>
    </row>
    <row r="18" spans="1:20" hidden="1" outlineLevel="1" collapsed="1" x14ac:dyDescent="0.2">
      <c r="A18" t="s">
        <v>37</v>
      </c>
      <c r="B18" s="4" t="s">
        <v>38</v>
      </c>
      <c r="C18" s="4" t="s">
        <v>85</v>
      </c>
      <c r="D18" s="4" t="s">
        <v>37</v>
      </c>
      <c r="E18" s="4">
        <v>1.05744E-3</v>
      </c>
      <c r="F18" s="4">
        <v>5.0826200000000004E-3</v>
      </c>
      <c r="G18" s="4">
        <v>1</v>
      </c>
      <c r="H18" s="4">
        <v>1</v>
      </c>
      <c r="I18" s="4">
        <v>1</v>
      </c>
      <c r="J18" s="4">
        <v>10</v>
      </c>
      <c r="K18" s="4" t="s">
        <v>28</v>
      </c>
      <c r="L18" s="4" t="s">
        <v>86</v>
      </c>
      <c r="M18" s="4" t="s">
        <v>37</v>
      </c>
      <c r="N18" s="4">
        <v>0</v>
      </c>
      <c r="O18" s="4">
        <v>2626.3722699999998</v>
      </c>
      <c r="P18" s="4" t="s">
        <v>38</v>
      </c>
      <c r="Q18" s="4" t="s">
        <v>38</v>
      </c>
      <c r="R18" s="4">
        <v>1.3159999999999999E-3</v>
      </c>
      <c r="S18" s="4">
        <v>4.3069999999999999E-5</v>
      </c>
      <c r="T18" s="4">
        <v>7.33</v>
      </c>
    </row>
    <row r="19" spans="1:20" hidden="1" outlineLevel="1" collapsed="1" x14ac:dyDescent="0.2">
      <c r="A19" t="s">
        <v>37</v>
      </c>
      <c r="B19" s="4" t="s">
        <v>38</v>
      </c>
      <c r="C19" s="4" t="s">
        <v>87</v>
      </c>
      <c r="D19" s="4" t="s">
        <v>88</v>
      </c>
      <c r="E19" s="4">
        <v>1.5669600000000001E-3</v>
      </c>
      <c r="F19" s="4">
        <v>5.0826200000000004E-3</v>
      </c>
      <c r="G19" s="4">
        <v>1</v>
      </c>
      <c r="H19" s="4">
        <v>1</v>
      </c>
      <c r="I19" s="4">
        <v>1</v>
      </c>
      <c r="J19" s="4">
        <v>9</v>
      </c>
      <c r="K19" s="4" t="s">
        <v>28</v>
      </c>
      <c r="L19" s="4" t="s">
        <v>89</v>
      </c>
      <c r="M19" s="4" t="s">
        <v>37</v>
      </c>
      <c r="N19" s="4">
        <v>0</v>
      </c>
      <c r="O19" s="4">
        <v>2560.0966400000002</v>
      </c>
      <c r="P19" s="4" t="s">
        <v>38</v>
      </c>
      <c r="Q19" s="4" t="s">
        <v>38</v>
      </c>
      <c r="R19" s="4">
        <v>1.3159999999999999E-3</v>
      </c>
      <c r="S19" s="4">
        <v>7.4919999999999994E-5</v>
      </c>
      <c r="T19" s="4">
        <v>5.47</v>
      </c>
    </row>
    <row r="20" spans="1:20" hidden="1" outlineLevel="1" collapsed="1" x14ac:dyDescent="0.2">
      <c r="A20" t="s">
        <v>37</v>
      </c>
      <c r="B20" s="4" t="s">
        <v>38</v>
      </c>
      <c r="C20" s="4" t="s">
        <v>87</v>
      </c>
      <c r="D20" s="4" t="s">
        <v>90</v>
      </c>
      <c r="E20" s="4">
        <v>7.5057700000000002E-3</v>
      </c>
      <c r="F20" s="4">
        <v>5.0826200000000004E-3</v>
      </c>
      <c r="G20" s="4">
        <v>1</v>
      </c>
      <c r="H20" s="4">
        <v>1</v>
      </c>
      <c r="I20" s="4">
        <v>3</v>
      </c>
      <c r="J20" s="4">
        <v>8</v>
      </c>
      <c r="K20" s="4" t="s">
        <v>28</v>
      </c>
      <c r="L20" s="4" t="s">
        <v>89</v>
      </c>
      <c r="M20" s="4" t="s">
        <v>91</v>
      </c>
      <c r="N20" s="4">
        <v>0</v>
      </c>
      <c r="O20" s="4">
        <v>2640.0629800000002</v>
      </c>
      <c r="P20" s="4" t="s">
        <v>38</v>
      </c>
      <c r="Q20" s="4" t="s">
        <v>38</v>
      </c>
      <c r="R20" s="4">
        <v>1.3159999999999999E-3</v>
      </c>
      <c r="S20" s="4">
        <v>6.736E-4</v>
      </c>
      <c r="T20" s="4">
        <v>4.9000000000000004</v>
      </c>
    </row>
    <row r="21" spans="1:20" hidden="1" outlineLevel="1" collapsed="1" x14ac:dyDescent="0.2">
      <c r="A21" t="s">
        <v>37</v>
      </c>
      <c r="B21" s="4" t="s">
        <v>38</v>
      </c>
      <c r="C21" s="4" t="s">
        <v>92</v>
      </c>
      <c r="D21" s="4" t="s">
        <v>93</v>
      </c>
      <c r="E21" s="4">
        <v>5.3756300000000002E-3</v>
      </c>
      <c r="F21" s="4">
        <v>5.0826200000000004E-3</v>
      </c>
      <c r="G21" s="4">
        <v>1</v>
      </c>
      <c r="H21" s="4">
        <v>1</v>
      </c>
      <c r="I21" s="4">
        <v>1</v>
      </c>
      <c r="J21" s="4">
        <v>3</v>
      </c>
      <c r="K21" s="4" t="s">
        <v>28</v>
      </c>
      <c r="L21" s="4" t="s">
        <v>94</v>
      </c>
      <c r="M21" s="4" t="s">
        <v>37</v>
      </c>
      <c r="N21" s="4">
        <v>0</v>
      </c>
      <c r="O21" s="4">
        <v>1269.61436</v>
      </c>
      <c r="P21" s="4" t="s">
        <v>38</v>
      </c>
      <c r="Q21" s="4" t="s">
        <v>38</v>
      </c>
      <c r="R21" s="4">
        <v>1.3159999999999999E-3</v>
      </c>
      <c r="S21" s="4">
        <v>4.2119999999999999E-4</v>
      </c>
      <c r="T21" s="4">
        <v>2.85</v>
      </c>
    </row>
    <row r="22" spans="1:20" hidden="1" outlineLevel="1" collapsed="1" x14ac:dyDescent="0.2">
      <c r="A22" t="s">
        <v>37</v>
      </c>
      <c r="B22" s="4" t="s">
        <v>38</v>
      </c>
      <c r="C22" s="4" t="s">
        <v>95</v>
      </c>
      <c r="D22" s="4" t="s">
        <v>37</v>
      </c>
      <c r="E22" s="4">
        <v>3.8847099999999999E-4</v>
      </c>
      <c r="F22" s="4">
        <v>5.0826200000000004E-3</v>
      </c>
      <c r="G22" s="4">
        <v>1</v>
      </c>
      <c r="H22" s="4">
        <v>1</v>
      </c>
      <c r="I22" s="4">
        <v>1</v>
      </c>
      <c r="J22" s="4">
        <v>12</v>
      </c>
      <c r="K22" s="4" t="s">
        <v>28</v>
      </c>
      <c r="L22" s="4" t="s">
        <v>96</v>
      </c>
      <c r="M22" s="4" t="s">
        <v>37</v>
      </c>
      <c r="N22" s="4">
        <v>0</v>
      </c>
      <c r="O22" s="4">
        <v>2349.1972700000001</v>
      </c>
      <c r="P22" s="4" t="s">
        <v>38</v>
      </c>
      <c r="Q22" s="4" t="s">
        <v>38</v>
      </c>
      <c r="R22" s="4">
        <v>1.3159999999999999E-3</v>
      </c>
      <c r="S22" s="4">
        <v>1.063E-5</v>
      </c>
      <c r="T22" s="4">
        <v>5.42</v>
      </c>
    </row>
    <row r="23" spans="1:20" hidden="1" outlineLevel="1" collapsed="1" x14ac:dyDescent="0.2">
      <c r="A23" t="s">
        <v>37</v>
      </c>
      <c r="B23" s="4" t="s">
        <v>38</v>
      </c>
      <c r="C23" s="4" t="s">
        <v>97</v>
      </c>
      <c r="D23" s="4" t="s">
        <v>37</v>
      </c>
      <c r="E23" s="4">
        <v>7.0891499999999996E-2</v>
      </c>
      <c r="F23" s="4">
        <v>5.0826200000000004E-3</v>
      </c>
      <c r="G23" s="4">
        <v>1</v>
      </c>
      <c r="H23" s="4">
        <v>1</v>
      </c>
      <c r="I23" s="4">
        <v>1</v>
      </c>
      <c r="J23" s="4">
        <v>3</v>
      </c>
      <c r="K23" s="4" t="s">
        <v>28</v>
      </c>
      <c r="L23" s="4" t="s">
        <v>98</v>
      </c>
      <c r="M23" s="4" t="s">
        <v>37</v>
      </c>
      <c r="N23" s="4">
        <v>0</v>
      </c>
      <c r="O23" s="4">
        <v>984.51088000000004</v>
      </c>
      <c r="P23" s="4" t="s">
        <v>38</v>
      </c>
      <c r="Q23" s="4" t="s">
        <v>38</v>
      </c>
      <c r="R23" s="4">
        <v>1.3159999999999999E-3</v>
      </c>
      <c r="S23" s="4">
        <v>1.5970000000000002E-2</v>
      </c>
      <c r="T23" s="4">
        <v>2.2400000000000002</v>
      </c>
    </row>
    <row r="24" spans="1:20" hidden="1" outlineLevel="1" collapsed="1" x14ac:dyDescent="0.2">
      <c r="A24" t="s">
        <v>37</v>
      </c>
      <c r="B24" s="4" t="s">
        <v>38</v>
      </c>
      <c r="C24" s="4" t="s">
        <v>99</v>
      </c>
      <c r="D24" s="4" t="s">
        <v>37</v>
      </c>
      <c r="E24" s="4">
        <v>3.7828199999999999E-2</v>
      </c>
      <c r="F24" s="4">
        <v>5.0826200000000004E-3</v>
      </c>
      <c r="G24" s="4">
        <v>1</v>
      </c>
      <c r="H24" s="4">
        <v>1</v>
      </c>
      <c r="I24" s="4">
        <v>1</v>
      </c>
      <c r="J24" s="4">
        <v>4</v>
      </c>
      <c r="K24" s="4" t="s">
        <v>28</v>
      </c>
      <c r="L24" s="4" t="s">
        <v>100</v>
      </c>
      <c r="M24" s="4" t="s">
        <v>37</v>
      </c>
      <c r="N24" s="4">
        <v>0</v>
      </c>
      <c r="O24" s="4">
        <v>957.53637000000003</v>
      </c>
      <c r="P24" s="4" t="s">
        <v>38</v>
      </c>
      <c r="Q24" s="4" t="s">
        <v>38</v>
      </c>
      <c r="R24" s="4">
        <v>1.3159999999999999E-3</v>
      </c>
      <c r="S24" s="4">
        <v>6.5209999999999999E-3</v>
      </c>
      <c r="T24" s="4">
        <v>2.63</v>
      </c>
    </row>
    <row r="25" spans="1:20" hidden="1" outlineLevel="1" collapsed="1" x14ac:dyDescent="0.2">
      <c r="A25" t="s">
        <v>37</v>
      </c>
      <c r="B25" s="4" t="s">
        <v>38</v>
      </c>
      <c r="C25" s="4" t="s">
        <v>101</v>
      </c>
      <c r="D25" s="4" t="s">
        <v>77</v>
      </c>
      <c r="E25" s="4">
        <v>2.8033300000000001E-3</v>
      </c>
      <c r="F25" s="4">
        <v>5.0826200000000004E-3</v>
      </c>
      <c r="G25" s="4">
        <v>1</v>
      </c>
      <c r="H25" s="4">
        <v>1</v>
      </c>
      <c r="I25" s="4">
        <v>1</v>
      </c>
      <c r="J25" s="4">
        <v>7</v>
      </c>
      <c r="K25" s="4" t="s">
        <v>28</v>
      </c>
      <c r="L25" s="4" t="s">
        <v>102</v>
      </c>
      <c r="M25" s="4" t="s">
        <v>37</v>
      </c>
      <c r="N25" s="4">
        <v>0</v>
      </c>
      <c r="O25" s="4">
        <v>1698.76394</v>
      </c>
      <c r="P25" s="4" t="s">
        <v>38</v>
      </c>
      <c r="Q25" s="4" t="s">
        <v>38</v>
      </c>
      <c r="R25" s="4">
        <v>1.3159999999999999E-3</v>
      </c>
      <c r="S25" s="4">
        <v>1.696E-4</v>
      </c>
      <c r="T25" s="4">
        <v>4.26</v>
      </c>
    </row>
    <row r="26" spans="1:20" hidden="1" outlineLevel="1" collapsed="1" x14ac:dyDescent="0.2">
      <c r="A26" t="s">
        <v>37</v>
      </c>
      <c r="B26" s="4" t="s">
        <v>38</v>
      </c>
      <c r="C26" s="4" t="s">
        <v>103</v>
      </c>
      <c r="D26" s="4" t="s">
        <v>37</v>
      </c>
      <c r="E26" s="4">
        <v>2.3978200000000002E-2</v>
      </c>
      <c r="F26" s="4">
        <v>5.0826200000000004E-3</v>
      </c>
      <c r="G26" s="4">
        <v>1</v>
      </c>
      <c r="H26" s="4">
        <v>1</v>
      </c>
      <c r="I26" s="4">
        <v>1</v>
      </c>
      <c r="J26" s="4">
        <v>4</v>
      </c>
      <c r="K26" s="4" t="s">
        <v>28</v>
      </c>
      <c r="L26" s="4" t="s">
        <v>104</v>
      </c>
      <c r="M26" s="4" t="s">
        <v>37</v>
      </c>
      <c r="N26" s="4">
        <v>0</v>
      </c>
      <c r="O26" s="4">
        <v>1220.62698</v>
      </c>
      <c r="P26" s="4" t="s">
        <v>38</v>
      </c>
      <c r="Q26" s="4" t="s">
        <v>38</v>
      </c>
      <c r="R26" s="4">
        <v>1.3159999999999999E-3</v>
      </c>
      <c r="S26" s="4">
        <v>3.4390000000000002E-3</v>
      </c>
      <c r="T26" s="4">
        <v>2.5299999999999998</v>
      </c>
    </row>
    <row r="27" spans="1:20" hidden="1" outlineLevel="1" collapsed="1" x14ac:dyDescent="0.2">
      <c r="A27" t="s">
        <v>37</v>
      </c>
      <c r="B27" s="4" t="s">
        <v>38</v>
      </c>
      <c r="C27" s="4" t="s">
        <v>105</v>
      </c>
      <c r="D27" s="4" t="s">
        <v>37</v>
      </c>
      <c r="E27" s="4">
        <v>4.9600600000000002E-2</v>
      </c>
      <c r="F27" s="4">
        <v>5.0826200000000004E-3</v>
      </c>
      <c r="G27" s="4">
        <v>1</v>
      </c>
      <c r="H27" s="4">
        <v>1</v>
      </c>
      <c r="I27" s="4">
        <v>1</v>
      </c>
      <c r="J27" s="4">
        <v>7</v>
      </c>
      <c r="K27" s="4" t="s">
        <v>28</v>
      </c>
      <c r="L27" s="4" t="s">
        <v>106</v>
      </c>
      <c r="M27" s="4" t="s">
        <v>37</v>
      </c>
      <c r="N27" s="4">
        <v>0</v>
      </c>
      <c r="O27" s="4">
        <v>1054.5203899999999</v>
      </c>
      <c r="P27" s="4" t="s">
        <v>38</v>
      </c>
      <c r="Q27" s="4" t="s">
        <v>38</v>
      </c>
      <c r="R27" s="4">
        <v>1.3159999999999999E-3</v>
      </c>
      <c r="S27" s="4">
        <v>9.6069999999999992E-3</v>
      </c>
      <c r="T27" s="4">
        <v>2.5299999999999998</v>
      </c>
    </row>
    <row r="28" spans="1:20" hidden="1" outlineLevel="1" collapsed="1" x14ac:dyDescent="0.2">
      <c r="A28" t="s">
        <v>37</v>
      </c>
      <c r="B28" s="4" t="s">
        <v>38</v>
      </c>
      <c r="C28" s="4" t="s">
        <v>107</v>
      </c>
      <c r="D28" s="4" t="s">
        <v>37</v>
      </c>
      <c r="E28" s="4">
        <v>4.2136399999999997E-2</v>
      </c>
      <c r="F28" s="4">
        <v>5.0826200000000004E-3</v>
      </c>
      <c r="G28" s="4">
        <v>1</v>
      </c>
      <c r="H28" s="4">
        <v>1</v>
      </c>
      <c r="I28" s="4">
        <v>1</v>
      </c>
      <c r="J28" s="4">
        <v>5</v>
      </c>
      <c r="K28" s="4" t="s">
        <v>28</v>
      </c>
      <c r="L28" s="4" t="s">
        <v>108</v>
      </c>
      <c r="M28" s="4" t="s">
        <v>37</v>
      </c>
      <c r="N28" s="4">
        <v>0</v>
      </c>
      <c r="O28" s="4">
        <v>975.56218999999999</v>
      </c>
      <c r="P28" s="4" t="s">
        <v>38</v>
      </c>
      <c r="Q28" s="4" t="s">
        <v>38</v>
      </c>
      <c r="R28" s="4">
        <v>1.3159999999999999E-3</v>
      </c>
      <c r="S28" s="4">
        <v>7.6220000000000003E-3</v>
      </c>
      <c r="T28" s="4">
        <v>2.82</v>
      </c>
    </row>
    <row r="29" spans="1:20" hidden="1" outlineLevel="1" collapsed="1" x14ac:dyDescent="0.2">
      <c r="A29" t="s">
        <v>37</v>
      </c>
      <c r="B29" s="4" t="s">
        <v>38</v>
      </c>
      <c r="C29" s="4" t="s">
        <v>109</v>
      </c>
      <c r="D29" s="4" t="s">
        <v>37</v>
      </c>
      <c r="E29" s="4">
        <v>9.9625599999999995E-2</v>
      </c>
      <c r="F29" s="4">
        <v>5.0826200000000004E-3</v>
      </c>
      <c r="G29" s="4">
        <v>1</v>
      </c>
      <c r="H29" s="4">
        <v>1</v>
      </c>
      <c r="I29" s="4">
        <v>1</v>
      </c>
      <c r="J29" s="4">
        <v>3</v>
      </c>
      <c r="K29" s="4" t="s">
        <v>28</v>
      </c>
      <c r="L29" s="4" t="s">
        <v>110</v>
      </c>
      <c r="M29" s="4" t="s">
        <v>37</v>
      </c>
      <c r="N29" s="4">
        <v>0</v>
      </c>
      <c r="O29" s="4">
        <v>845.47271000000001</v>
      </c>
      <c r="P29" s="4" t="s">
        <v>38</v>
      </c>
      <c r="Q29" s="4" t="s">
        <v>38</v>
      </c>
      <c r="R29" s="4">
        <v>1.3159999999999999E-3</v>
      </c>
      <c r="S29" s="4">
        <v>2.596E-2</v>
      </c>
      <c r="T29" s="4">
        <v>2.0499999999999998</v>
      </c>
    </row>
    <row r="30" spans="1:20" hidden="1" outlineLevel="1" collapsed="1" x14ac:dyDescent="0.2">
      <c r="A30" t="s">
        <v>37</v>
      </c>
      <c r="B30" s="4" t="s">
        <v>38</v>
      </c>
      <c r="C30" s="4" t="s">
        <v>111</v>
      </c>
      <c r="D30" s="4" t="s">
        <v>112</v>
      </c>
      <c r="E30" s="4">
        <v>2.1724899999999998E-2</v>
      </c>
      <c r="F30" s="4">
        <v>5.0826200000000004E-3</v>
      </c>
      <c r="G30" s="4">
        <v>1</v>
      </c>
      <c r="H30" s="4">
        <v>1</v>
      </c>
      <c r="I30" s="4">
        <v>1</v>
      </c>
      <c r="J30" s="4">
        <v>8</v>
      </c>
      <c r="K30" s="4" t="s">
        <v>28</v>
      </c>
      <c r="L30" s="4" t="s">
        <v>113</v>
      </c>
      <c r="M30" s="4" t="s">
        <v>37</v>
      </c>
      <c r="N30" s="4">
        <v>0</v>
      </c>
      <c r="O30" s="4">
        <v>2522.1140099999998</v>
      </c>
      <c r="P30" s="4" t="s">
        <v>38</v>
      </c>
      <c r="Q30" s="4" t="s">
        <v>38</v>
      </c>
      <c r="R30" s="4">
        <v>1.3159999999999999E-3</v>
      </c>
      <c r="S30" s="4">
        <v>2.9880000000000002E-3</v>
      </c>
      <c r="T30" s="4">
        <v>4.1900000000000004</v>
      </c>
    </row>
    <row r="31" spans="1:20" hidden="1" outlineLevel="1" collapsed="1" x14ac:dyDescent="0.2">
      <c r="A31" t="s">
        <v>37</v>
      </c>
      <c r="B31" s="4" t="s">
        <v>38</v>
      </c>
      <c r="C31" s="4" t="s">
        <v>114</v>
      </c>
      <c r="D31" s="4" t="s">
        <v>37</v>
      </c>
      <c r="E31" s="4">
        <v>1.8856700000000001E-2</v>
      </c>
      <c r="F31" s="4">
        <v>5.0826200000000004E-3</v>
      </c>
      <c r="G31" s="4">
        <v>1</v>
      </c>
      <c r="H31" s="4">
        <v>1</v>
      </c>
      <c r="I31" s="4">
        <v>1</v>
      </c>
      <c r="J31" s="4">
        <v>8</v>
      </c>
      <c r="K31" s="4" t="s">
        <v>28</v>
      </c>
      <c r="L31" s="4" t="s">
        <v>115</v>
      </c>
      <c r="M31" s="4" t="s">
        <v>37</v>
      </c>
      <c r="N31" s="4">
        <v>0</v>
      </c>
      <c r="O31" s="4">
        <v>1406.7525700000001</v>
      </c>
      <c r="P31" s="4" t="s">
        <v>38</v>
      </c>
      <c r="Q31" s="4" t="s">
        <v>38</v>
      </c>
      <c r="R31" s="4">
        <v>1.3159999999999999E-3</v>
      </c>
      <c r="S31" s="4">
        <v>2.4529999999999999E-3</v>
      </c>
      <c r="T31" s="4">
        <v>3.39</v>
      </c>
    </row>
    <row r="32" spans="1:20" hidden="1" outlineLevel="1" collapsed="1" x14ac:dyDescent="0.2">
      <c r="A32" t="s">
        <v>37</v>
      </c>
      <c r="B32" s="4" t="s">
        <v>38</v>
      </c>
      <c r="C32" s="4" t="s">
        <v>116</v>
      </c>
      <c r="D32" s="4" t="s">
        <v>37</v>
      </c>
      <c r="E32" s="4">
        <v>8.3824999999999997E-2</v>
      </c>
      <c r="F32" s="4">
        <v>5.0826200000000004E-3</v>
      </c>
      <c r="G32" s="4">
        <v>1</v>
      </c>
      <c r="H32" s="4">
        <v>1</v>
      </c>
      <c r="I32" s="4">
        <v>1</v>
      </c>
      <c r="J32" s="4">
        <v>7</v>
      </c>
      <c r="K32" s="4" t="s">
        <v>28</v>
      </c>
      <c r="L32" s="4" t="s">
        <v>117</v>
      </c>
      <c r="M32" s="4" t="s">
        <v>37</v>
      </c>
      <c r="N32" s="4">
        <v>1</v>
      </c>
      <c r="O32" s="4">
        <v>1771.8748700000001</v>
      </c>
      <c r="P32" s="4" t="s">
        <v>38</v>
      </c>
      <c r="Q32" s="4" t="s">
        <v>38</v>
      </c>
      <c r="R32" s="4">
        <v>1.3159999999999999E-3</v>
      </c>
      <c r="S32" s="4">
        <v>2.0250000000000001E-2</v>
      </c>
      <c r="T32" s="4">
        <v>3.1</v>
      </c>
    </row>
    <row r="33" spans="1:27" collapsed="1" x14ac:dyDescent="0.2">
      <c r="A33" s="3" t="s">
        <v>27</v>
      </c>
      <c r="B33" s="3" t="s">
        <v>118</v>
      </c>
      <c r="C33" s="3" t="s">
        <v>119</v>
      </c>
      <c r="D33" s="3">
        <v>28</v>
      </c>
      <c r="E33" s="3">
        <v>31</v>
      </c>
      <c r="F33" s="3">
        <v>32</v>
      </c>
      <c r="G33" s="3">
        <v>155</v>
      </c>
      <c r="H33" s="3">
        <v>31</v>
      </c>
      <c r="I33" s="3">
        <v>1513</v>
      </c>
      <c r="J33" s="3">
        <v>174.1</v>
      </c>
      <c r="K33" s="3">
        <v>6.32</v>
      </c>
      <c r="L33" s="3">
        <v>547.28</v>
      </c>
      <c r="M33" s="3">
        <v>31</v>
      </c>
      <c r="N33" s="3" t="s">
        <v>120</v>
      </c>
      <c r="O33" s="3" t="s">
        <v>31</v>
      </c>
      <c r="P33" s="3" t="s">
        <v>121</v>
      </c>
      <c r="Q33" s="3" t="s">
        <v>122</v>
      </c>
      <c r="R33" s="3" t="s">
        <v>123</v>
      </c>
      <c r="S33" s="3" t="s">
        <v>124</v>
      </c>
      <c r="T33" s="3" t="s">
        <v>125</v>
      </c>
      <c r="U33" s="3" t="s">
        <v>37</v>
      </c>
      <c r="V33" s="3" t="s">
        <v>37</v>
      </c>
      <c r="W33" s="3" t="s">
        <v>37</v>
      </c>
      <c r="X33" s="3">
        <v>0</v>
      </c>
      <c r="Y33" s="3" t="s">
        <v>38</v>
      </c>
      <c r="Z33" s="3">
        <v>1</v>
      </c>
      <c r="AA33" s="3" t="s">
        <v>126</v>
      </c>
    </row>
    <row r="34" spans="1:27" hidden="1" outlineLevel="1" collapsed="1" x14ac:dyDescent="0.2">
      <c r="A34" t="s">
        <v>37</v>
      </c>
      <c r="B34" s="2" t="s">
        <v>40</v>
      </c>
      <c r="C34" s="2" t="s">
        <v>41</v>
      </c>
      <c r="D34" s="2" t="s">
        <v>26</v>
      </c>
      <c r="E34" s="2" t="s">
        <v>42</v>
      </c>
      <c r="F34" s="2" t="s">
        <v>43</v>
      </c>
      <c r="G34" s="2" t="s">
        <v>25</v>
      </c>
      <c r="H34" s="2" t="s">
        <v>44</v>
      </c>
      <c r="I34" s="2" t="s">
        <v>5</v>
      </c>
      <c r="J34" s="2" t="s">
        <v>6</v>
      </c>
      <c r="K34" s="2" t="s">
        <v>45</v>
      </c>
      <c r="L34" s="2" t="s">
        <v>46</v>
      </c>
      <c r="M34" s="2" t="s">
        <v>47</v>
      </c>
      <c r="N34" s="2" t="s">
        <v>48</v>
      </c>
      <c r="O34" s="2" t="s">
        <v>49</v>
      </c>
      <c r="P34" s="2" t="s">
        <v>24</v>
      </c>
      <c r="Q34" s="2" t="s">
        <v>50</v>
      </c>
      <c r="R34" s="2" t="s">
        <v>51</v>
      </c>
      <c r="S34" s="2" t="s">
        <v>52</v>
      </c>
      <c r="T34" s="2" t="s">
        <v>53</v>
      </c>
    </row>
    <row r="35" spans="1:27" hidden="1" outlineLevel="1" collapsed="1" x14ac:dyDescent="0.2">
      <c r="A35" t="s">
        <v>37</v>
      </c>
      <c r="B35" s="4" t="s">
        <v>38</v>
      </c>
      <c r="C35" s="4" t="s">
        <v>127</v>
      </c>
      <c r="D35" s="4" t="s">
        <v>37</v>
      </c>
      <c r="E35" s="4">
        <v>8.5949400000000006E-3</v>
      </c>
      <c r="F35" s="4">
        <v>5.0826200000000004E-3</v>
      </c>
      <c r="G35" s="4">
        <v>1</v>
      </c>
      <c r="H35" s="4">
        <v>1</v>
      </c>
      <c r="I35" s="4">
        <v>1</v>
      </c>
      <c r="J35" s="4">
        <v>12</v>
      </c>
      <c r="K35" s="4" t="s">
        <v>118</v>
      </c>
      <c r="L35" s="4" t="s">
        <v>128</v>
      </c>
      <c r="M35" s="4" t="s">
        <v>37</v>
      </c>
      <c r="N35" s="4">
        <v>0</v>
      </c>
      <c r="O35" s="4">
        <v>2010.0767000000001</v>
      </c>
      <c r="P35" s="4" t="s">
        <v>38</v>
      </c>
      <c r="Q35" s="4" t="s">
        <v>38</v>
      </c>
      <c r="R35" s="4">
        <v>1.3159999999999999E-3</v>
      </c>
      <c r="S35" s="4">
        <v>8.1510000000000003E-4</v>
      </c>
      <c r="T35" s="4">
        <v>4.99</v>
      </c>
    </row>
    <row r="36" spans="1:27" hidden="1" outlineLevel="1" collapsed="1" x14ac:dyDescent="0.2">
      <c r="A36" t="s">
        <v>37</v>
      </c>
      <c r="B36" s="4" t="s">
        <v>38</v>
      </c>
      <c r="C36" s="4" t="s">
        <v>129</v>
      </c>
      <c r="D36" s="4" t="s">
        <v>37</v>
      </c>
      <c r="E36" s="4">
        <v>1.8305700000000001E-2</v>
      </c>
      <c r="F36" s="4">
        <v>5.0826200000000004E-3</v>
      </c>
      <c r="G36" s="4">
        <v>1</v>
      </c>
      <c r="H36" s="4">
        <v>1</v>
      </c>
      <c r="I36" s="4">
        <v>1</v>
      </c>
      <c r="J36" s="4">
        <v>7</v>
      </c>
      <c r="K36" s="4" t="s">
        <v>118</v>
      </c>
      <c r="L36" s="4" t="s">
        <v>130</v>
      </c>
      <c r="M36" s="4" t="s">
        <v>37</v>
      </c>
      <c r="N36" s="4">
        <v>1</v>
      </c>
      <c r="O36" s="4">
        <v>1406.7274199999999</v>
      </c>
      <c r="P36" s="4" t="s">
        <v>38</v>
      </c>
      <c r="Q36" s="4" t="s">
        <v>38</v>
      </c>
      <c r="R36" s="4">
        <v>1.3159999999999999E-3</v>
      </c>
      <c r="S36" s="4">
        <v>2.3519999999999999E-3</v>
      </c>
      <c r="T36" s="4">
        <v>3.33</v>
      </c>
    </row>
    <row r="37" spans="1:27" hidden="1" outlineLevel="1" collapsed="1" x14ac:dyDescent="0.2">
      <c r="A37" t="s">
        <v>37</v>
      </c>
      <c r="B37" s="4" t="s">
        <v>38</v>
      </c>
      <c r="C37" s="4" t="s">
        <v>131</v>
      </c>
      <c r="D37" s="4" t="s">
        <v>37</v>
      </c>
      <c r="E37" s="4">
        <v>8.6281700000000003E-2</v>
      </c>
      <c r="F37" s="4">
        <v>5.0826200000000004E-3</v>
      </c>
      <c r="G37" s="4">
        <v>1</v>
      </c>
      <c r="H37" s="4">
        <v>1</v>
      </c>
      <c r="I37" s="4">
        <v>1</v>
      </c>
      <c r="J37" s="4">
        <v>4</v>
      </c>
      <c r="K37" s="4" t="s">
        <v>118</v>
      </c>
      <c r="L37" s="4" t="s">
        <v>132</v>
      </c>
      <c r="M37" s="4" t="s">
        <v>37</v>
      </c>
      <c r="N37" s="4">
        <v>0</v>
      </c>
      <c r="O37" s="4">
        <v>1290.65761</v>
      </c>
      <c r="P37" s="4" t="s">
        <v>38</v>
      </c>
      <c r="Q37" s="4" t="s">
        <v>38</v>
      </c>
      <c r="R37" s="4">
        <v>1.3159999999999999E-3</v>
      </c>
      <c r="S37" s="4">
        <v>2.1080000000000002E-2</v>
      </c>
      <c r="T37" s="4">
        <v>1.87</v>
      </c>
    </row>
    <row r="38" spans="1:27" hidden="1" outlineLevel="1" collapsed="1" x14ac:dyDescent="0.2">
      <c r="A38" t="s">
        <v>37</v>
      </c>
      <c r="B38" s="4" t="s">
        <v>38</v>
      </c>
      <c r="C38" s="4" t="s">
        <v>133</v>
      </c>
      <c r="D38" s="4" t="s">
        <v>37</v>
      </c>
      <c r="E38" s="4">
        <v>0.108542</v>
      </c>
      <c r="F38" s="4">
        <v>5.0826200000000004E-3</v>
      </c>
      <c r="G38" s="4">
        <v>1</v>
      </c>
      <c r="H38" s="4">
        <v>1</v>
      </c>
      <c r="I38" s="4">
        <v>1</v>
      </c>
      <c r="J38" s="4">
        <v>2</v>
      </c>
      <c r="K38" s="4" t="s">
        <v>118</v>
      </c>
      <c r="L38" s="4" t="s">
        <v>134</v>
      </c>
      <c r="M38" s="4" t="s">
        <v>37</v>
      </c>
      <c r="N38" s="4">
        <v>0</v>
      </c>
      <c r="O38" s="4">
        <v>1332.6641500000001</v>
      </c>
      <c r="P38" s="4" t="s">
        <v>38</v>
      </c>
      <c r="Q38" s="4" t="s">
        <v>38</v>
      </c>
      <c r="R38" s="4">
        <v>1.3159999999999999E-3</v>
      </c>
      <c r="S38" s="4">
        <v>2.9409999999999999E-2</v>
      </c>
      <c r="T38" s="4">
        <v>2.62</v>
      </c>
    </row>
    <row r="39" spans="1:27" hidden="1" outlineLevel="1" collapsed="1" x14ac:dyDescent="0.2">
      <c r="A39" t="s">
        <v>37</v>
      </c>
      <c r="B39" s="4" t="s">
        <v>38</v>
      </c>
      <c r="C39" s="4" t="s">
        <v>135</v>
      </c>
      <c r="D39" s="4" t="s">
        <v>37</v>
      </c>
      <c r="E39" s="4">
        <v>6.6664399999999999E-2</v>
      </c>
      <c r="F39" s="4">
        <v>5.0826200000000004E-3</v>
      </c>
      <c r="G39" s="4">
        <v>1</v>
      </c>
      <c r="H39" s="4">
        <v>1</v>
      </c>
      <c r="I39" s="4">
        <v>1</v>
      </c>
      <c r="J39" s="4">
        <v>3</v>
      </c>
      <c r="K39" s="4" t="s">
        <v>118</v>
      </c>
      <c r="L39" s="4" t="s">
        <v>136</v>
      </c>
      <c r="M39" s="4" t="s">
        <v>37</v>
      </c>
      <c r="N39" s="4">
        <v>0</v>
      </c>
      <c r="O39" s="4">
        <v>1323.6426899999999</v>
      </c>
      <c r="P39" s="4" t="s">
        <v>38</v>
      </c>
      <c r="Q39" s="4" t="s">
        <v>38</v>
      </c>
      <c r="R39" s="4">
        <v>1.3159999999999999E-3</v>
      </c>
      <c r="S39" s="4">
        <v>1.461E-2</v>
      </c>
      <c r="T39" s="4">
        <v>2.79</v>
      </c>
    </row>
    <row r="40" spans="1:27" hidden="1" outlineLevel="1" collapsed="1" x14ac:dyDescent="0.2">
      <c r="A40" t="s">
        <v>37</v>
      </c>
      <c r="B40" s="4" t="s">
        <v>38</v>
      </c>
      <c r="C40" s="4" t="s">
        <v>137</v>
      </c>
      <c r="D40" s="4" t="s">
        <v>37</v>
      </c>
      <c r="E40" s="4">
        <v>1.21192E-2</v>
      </c>
      <c r="F40" s="4">
        <v>5.0826200000000004E-3</v>
      </c>
      <c r="G40" s="4">
        <v>1</v>
      </c>
      <c r="H40" s="4">
        <v>1</v>
      </c>
      <c r="I40" s="4">
        <v>1</v>
      </c>
      <c r="J40" s="4">
        <v>7</v>
      </c>
      <c r="K40" s="4" t="s">
        <v>118</v>
      </c>
      <c r="L40" s="4" t="s">
        <v>138</v>
      </c>
      <c r="M40" s="4" t="s">
        <v>37</v>
      </c>
      <c r="N40" s="4">
        <v>0</v>
      </c>
      <c r="O40" s="4">
        <v>1199.6994099999999</v>
      </c>
      <c r="P40" s="4" t="s">
        <v>38</v>
      </c>
      <c r="Q40" s="4" t="s">
        <v>38</v>
      </c>
      <c r="R40" s="4">
        <v>1.3159999999999999E-3</v>
      </c>
      <c r="S40" s="4">
        <v>1.315E-3</v>
      </c>
      <c r="T40" s="4">
        <v>3.35</v>
      </c>
    </row>
    <row r="41" spans="1:27" hidden="1" outlineLevel="1" collapsed="1" x14ac:dyDescent="0.2">
      <c r="A41" t="s">
        <v>37</v>
      </c>
      <c r="B41" s="4" t="s">
        <v>38</v>
      </c>
      <c r="C41" s="4" t="s">
        <v>139</v>
      </c>
      <c r="D41" s="4" t="s">
        <v>37</v>
      </c>
      <c r="E41" s="4">
        <v>1.66368E-2</v>
      </c>
      <c r="F41" s="4">
        <v>5.0826200000000004E-3</v>
      </c>
      <c r="G41" s="4">
        <v>1</v>
      </c>
      <c r="H41" s="4">
        <v>1</v>
      </c>
      <c r="I41" s="4">
        <v>1</v>
      </c>
      <c r="J41" s="4">
        <v>3</v>
      </c>
      <c r="K41" s="4" t="s">
        <v>118</v>
      </c>
      <c r="L41" s="4" t="s">
        <v>140</v>
      </c>
      <c r="M41" s="4" t="s">
        <v>37</v>
      </c>
      <c r="N41" s="4">
        <v>0</v>
      </c>
      <c r="O41" s="4">
        <v>1851.8719100000001</v>
      </c>
      <c r="P41" s="4" t="s">
        <v>38</v>
      </c>
      <c r="Q41" s="4" t="s">
        <v>38</v>
      </c>
      <c r="R41" s="4">
        <v>1.3159999999999999E-3</v>
      </c>
      <c r="S41" s="4">
        <v>2.0590000000000001E-3</v>
      </c>
      <c r="T41" s="4">
        <v>3.09</v>
      </c>
    </row>
    <row r="42" spans="1:27" hidden="1" outlineLevel="1" collapsed="1" x14ac:dyDescent="0.2">
      <c r="A42" t="s">
        <v>37</v>
      </c>
      <c r="B42" s="4" t="s">
        <v>38</v>
      </c>
      <c r="C42" s="4" t="s">
        <v>141</v>
      </c>
      <c r="D42" s="4" t="s">
        <v>37</v>
      </c>
      <c r="E42" s="4">
        <v>3.4629E-2</v>
      </c>
      <c r="F42" s="4">
        <v>5.0826200000000004E-3</v>
      </c>
      <c r="G42" s="4">
        <v>1</v>
      </c>
      <c r="H42" s="4">
        <v>1</v>
      </c>
      <c r="I42" s="4">
        <v>1</v>
      </c>
      <c r="J42" s="4">
        <v>7</v>
      </c>
      <c r="K42" s="4" t="s">
        <v>118</v>
      </c>
      <c r="L42" s="4" t="s">
        <v>142</v>
      </c>
      <c r="M42" s="4" t="s">
        <v>37</v>
      </c>
      <c r="N42" s="4">
        <v>1</v>
      </c>
      <c r="O42" s="4">
        <v>2138.17166</v>
      </c>
      <c r="P42" s="4" t="s">
        <v>38</v>
      </c>
      <c r="Q42" s="4" t="s">
        <v>38</v>
      </c>
      <c r="R42" s="4">
        <v>1.3159999999999999E-3</v>
      </c>
      <c r="S42" s="4">
        <v>5.7660000000000003E-3</v>
      </c>
      <c r="T42" s="4">
        <v>5.0599999999999996</v>
      </c>
    </row>
    <row r="43" spans="1:27" hidden="1" outlineLevel="1" collapsed="1" x14ac:dyDescent="0.2">
      <c r="A43" t="s">
        <v>37</v>
      </c>
      <c r="B43" s="4" t="s">
        <v>38</v>
      </c>
      <c r="C43" s="4" t="s">
        <v>143</v>
      </c>
      <c r="D43" s="4" t="s">
        <v>37</v>
      </c>
      <c r="E43" s="4">
        <v>2.2304399999999999E-2</v>
      </c>
      <c r="F43" s="4">
        <v>5.0826200000000004E-3</v>
      </c>
      <c r="G43" s="4">
        <v>1</v>
      </c>
      <c r="H43" s="4">
        <v>1</v>
      </c>
      <c r="I43" s="4">
        <v>1</v>
      </c>
      <c r="J43" s="4">
        <v>6</v>
      </c>
      <c r="K43" s="4" t="s">
        <v>118</v>
      </c>
      <c r="L43" s="4" t="s">
        <v>144</v>
      </c>
      <c r="M43" s="4" t="s">
        <v>37</v>
      </c>
      <c r="N43" s="4">
        <v>0</v>
      </c>
      <c r="O43" s="4">
        <v>1221.6725300000001</v>
      </c>
      <c r="P43" s="4" t="s">
        <v>38</v>
      </c>
      <c r="Q43" s="4" t="s">
        <v>38</v>
      </c>
      <c r="R43" s="4">
        <v>1.3159999999999999E-3</v>
      </c>
      <c r="S43" s="4">
        <v>3.0999999999999999E-3</v>
      </c>
      <c r="T43" s="4">
        <v>3.14</v>
      </c>
    </row>
    <row r="44" spans="1:27" hidden="1" outlineLevel="1" collapsed="1" x14ac:dyDescent="0.2">
      <c r="A44" t="s">
        <v>37</v>
      </c>
      <c r="B44" s="4" t="s">
        <v>38</v>
      </c>
      <c r="C44" s="4" t="s">
        <v>145</v>
      </c>
      <c r="D44" s="4" t="s">
        <v>37</v>
      </c>
      <c r="E44" s="4">
        <v>0.232458</v>
      </c>
      <c r="F44" s="4">
        <v>5.0826200000000004E-3</v>
      </c>
      <c r="G44" s="4">
        <v>1</v>
      </c>
      <c r="H44" s="4">
        <v>1</v>
      </c>
      <c r="I44" s="4">
        <v>1</v>
      </c>
      <c r="J44" s="4">
        <v>2</v>
      </c>
      <c r="K44" s="4" t="s">
        <v>118</v>
      </c>
      <c r="L44" s="4" t="s">
        <v>146</v>
      </c>
      <c r="M44" s="4" t="s">
        <v>37</v>
      </c>
      <c r="N44" s="4">
        <v>0</v>
      </c>
      <c r="O44" s="4">
        <v>842.46181000000001</v>
      </c>
      <c r="P44" s="4" t="s">
        <v>38</v>
      </c>
      <c r="Q44" s="4" t="s">
        <v>38</v>
      </c>
      <c r="R44" s="4">
        <v>1.3159999999999999E-3</v>
      </c>
      <c r="S44" s="4">
        <v>9.0990000000000001E-2</v>
      </c>
      <c r="T44" s="4">
        <v>1.42</v>
      </c>
    </row>
    <row r="45" spans="1:27" hidden="1" outlineLevel="1" collapsed="1" x14ac:dyDescent="0.2">
      <c r="A45" t="s">
        <v>37</v>
      </c>
      <c r="B45" s="4" t="s">
        <v>38</v>
      </c>
      <c r="C45" s="4" t="s">
        <v>147</v>
      </c>
      <c r="D45" s="4" t="s">
        <v>37</v>
      </c>
      <c r="E45" s="4">
        <v>3.74588E-2</v>
      </c>
      <c r="F45" s="4">
        <v>5.0826200000000004E-3</v>
      </c>
      <c r="G45" s="4">
        <v>1</v>
      </c>
      <c r="H45" s="4">
        <v>1</v>
      </c>
      <c r="I45" s="4">
        <v>1</v>
      </c>
      <c r="J45" s="4">
        <v>5</v>
      </c>
      <c r="K45" s="4" t="s">
        <v>118</v>
      </c>
      <c r="L45" s="4" t="s">
        <v>148</v>
      </c>
      <c r="M45" s="4" t="s">
        <v>37</v>
      </c>
      <c r="N45" s="4">
        <v>0</v>
      </c>
      <c r="O45" s="4">
        <v>1206.6728599999999</v>
      </c>
      <c r="P45" s="4" t="s">
        <v>38</v>
      </c>
      <c r="Q45" s="4" t="s">
        <v>38</v>
      </c>
      <c r="R45" s="4">
        <v>1.3159999999999999E-3</v>
      </c>
      <c r="S45" s="4">
        <v>6.4570000000000001E-3</v>
      </c>
      <c r="T45" s="4">
        <v>3.65</v>
      </c>
    </row>
    <row r="46" spans="1:27" hidden="1" outlineLevel="1" collapsed="1" x14ac:dyDescent="0.2">
      <c r="A46" t="s">
        <v>37</v>
      </c>
      <c r="B46" s="4" t="s">
        <v>38</v>
      </c>
      <c r="C46" s="4" t="s">
        <v>149</v>
      </c>
      <c r="D46" s="4" t="s">
        <v>37</v>
      </c>
      <c r="E46" s="4">
        <v>5.0987599999999999E-3</v>
      </c>
      <c r="F46" s="4">
        <v>5.0826200000000004E-3</v>
      </c>
      <c r="G46" s="4">
        <v>1</v>
      </c>
      <c r="H46" s="4">
        <v>1</v>
      </c>
      <c r="I46" s="4">
        <v>1</v>
      </c>
      <c r="J46" s="4">
        <v>7</v>
      </c>
      <c r="K46" s="4" t="s">
        <v>118</v>
      </c>
      <c r="L46" s="4" t="s">
        <v>150</v>
      </c>
      <c r="M46" s="4" t="s">
        <v>37</v>
      </c>
      <c r="N46" s="4">
        <v>0</v>
      </c>
      <c r="O46" s="4">
        <v>1200.6582800000001</v>
      </c>
      <c r="P46" s="4" t="s">
        <v>38</v>
      </c>
      <c r="Q46" s="4" t="s">
        <v>38</v>
      </c>
      <c r="R46" s="4">
        <v>1.3159999999999999E-3</v>
      </c>
      <c r="S46" s="4">
        <v>3.9140000000000003E-4</v>
      </c>
      <c r="T46" s="4">
        <v>2.57</v>
      </c>
    </row>
    <row r="47" spans="1:27" hidden="1" outlineLevel="1" collapsed="1" x14ac:dyDescent="0.2">
      <c r="A47" t="s">
        <v>37</v>
      </c>
      <c r="B47" s="4" t="s">
        <v>38</v>
      </c>
      <c r="C47" s="4" t="s">
        <v>151</v>
      </c>
      <c r="D47" s="4" t="s">
        <v>152</v>
      </c>
      <c r="E47" s="4">
        <v>1.9043999999999998E-2</v>
      </c>
      <c r="F47" s="4">
        <v>5.0826200000000004E-3</v>
      </c>
      <c r="G47" s="4">
        <v>1</v>
      </c>
      <c r="H47" s="4">
        <v>1</v>
      </c>
      <c r="I47" s="4">
        <v>1</v>
      </c>
      <c r="J47" s="4">
        <v>8</v>
      </c>
      <c r="K47" s="4" t="s">
        <v>118</v>
      </c>
      <c r="L47" s="4" t="s">
        <v>153</v>
      </c>
      <c r="M47" s="4" t="s">
        <v>37</v>
      </c>
      <c r="N47" s="4">
        <v>1</v>
      </c>
      <c r="O47" s="4">
        <v>1758.9054599999999</v>
      </c>
      <c r="P47" s="4" t="s">
        <v>38</v>
      </c>
      <c r="Q47" s="4" t="s">
        <v>38</v>
      </c>
      <c r="R47" s="4">
        <v>1.3159999999999999E-3</v>
      </c>
      <c r="S47" s="4">
        <v>2.483E-3</v>
      </c>
      <c r="T47" s="4">
        <v>4.74</v>
      </c>
    </row>
    <row r="48" spans="1:27" hidden="1" outlineLevel="1" collapsed="1" x14ac:dyDescent="0.2">
      <c r="A48" t="s">
        <v>37</v>
      </c>
      <c r="B48" s="4" t="s">
        <v>38</v>
      </c>
      <c r="C48" s="4" t="s">
        <v>154</v>
      </c>
      <c r="D48" s="4" t="s">
        <v>152</v>
      </c>
      <c r="E48" s="4">
        <v>0.15543499999999999</v>
      </c>
      <c r="F48" s="4">
        <v>5.0826200000000004E-3</v>
      </c>
      <c r="G48" s="4">
        <v>1</v>
      </c>
      <c r="H48" s="4">
        <v>1</v>
      </c>
      <c r="I48" s="4">
        <v>1</v>
      </c>
      <c r="J48" s="4">
        <v>6</v>
      </c>
      <c r="K48" s="4" t="s">
        <v>118</v>
      </c>
      <c r="L48" s="4" t="s">
        <v>155</v>
      </c>
      <c r="M48" s="4" t="s">
        <v>37</v>
      </c>
      <c r="N48" s="4">
        <v>2</v>
      </c>
      <c r="O48" s="4">
        <v>1887.0004200000001</v>
      </c>
      <c r="P48" s="4" t="s">
        <v>38</v>
      </c>
      <c r="Q48" s="4" t="s">
        <v>38</v>
      </c>
      <c r="R48" s="4">
        <v>1.3159999999999999E-3</v>
      </c>
      <c r="S48" s="4">
        <v>4.9779999999999998E-2</v>
      </c>
      <c r="T48" s="4">
        <v>3.55</v>
      </c>
    </row>
    <row r="49" spans="1:20" hidden="1" outlineLevel="1" collapsed="1" x14ac:dyDescent="0.2">
      <c r="A49" t="s">
        <v>37</v>
      </c>
      <c r="B49" s="4" t="s">
        <v>38</v>
      </c>
      <c r="C49" s="4" t="s">
        <v>156</v>
      </c>
      <c r="D49" s="4" t="s">
        <v>157</v>
      </c>
      <c r="E49" s="4">
        <v>7.8872400000000002E-3</v>
      </c>
      <c r="F49" s="4">
        <v>5.0826200000000004E-3</v>
      </c>
      <c r="G49" s="4">
        <v>1</v>
      </c>
      <c r="H49" s="4">
        <v>1</v>
      </c>
      <c r="I49" s="4">
        <v>1</v>
      </c>
      <c r="J49" s="4">
        <v>7</v>
      </c>
      <c r="K49" s="4" t="s">
        <v>118</v>
      </c>
      <c r="L49" s="4" t="s">
        <v>158</v>
      </c>
      <c r="M49" s="4" t="s">
        <v>37</v>
      </c>
      <c r="N49" s="4">
        <v>1</v>
      </c>
      <c r="O49" s="4">
        <v>3021.3993500000001</v>
      </c>
      <c r="P49" s="4" t="s">
        <v>38</v>
      </c>
      <c r="Q49" s="4" t="s">
        <v>38</v>
      </c>
      <c r="R49" s="4">
        <v>1.3159999999999999E-3</v>
      </c>
      <c r="S49" s="4">
        <v>7.2130000000000002E-4</v>
      </c>
      <c r="T49" s="4">
        <v>6.23</v>
      </c>
    </row>
    <row r="50" spans="1:20" hidden="1" outlineLevel="1" collapsed="1" x14ac:dyDescent="0.2">
      <c r="A50" t="s">
        <v>37</v>
      </c>
      <c r="B50" s="4" t="s">
        <v>38</v>
      </c>
      <c r="C50" s="4" t="s">
        <v>159</v>
      </c>
      <c r="D50" s="4" t="s">
        <v>93</v>
      </c>
      <c r="E50" s="4">
        <v>1.2598799999999999E-3</v>
      </c>
      <c r="F50" s="4">
        <v>5.0826200000000004E-3</v>
      </c>
      <c r="G50" s="4">
        <v>1</v>
      </c>
      <c r="H50" s="4">
        <v>1</v>
      </c>
      <c r="I50" s="4">
        <v>1</v>
      </c>
      <c r="J50" s="4">
        <v>10</v>
      </c>
      <c r="K50" s="4" t="s">
        <v>118</v>
      </c>
      <c r="L50" s="4" t="s">
        <v>160</v>
      </c>
      <c r="M50" s="4" t="s">
        <v>37</v>
      </c>
      <c r="N50" s="4">
        <v>0</v>
      </c>
      <c r="O50" s="4">
        <v>2455.0817099999999</v>
      </c>
      <c r="P50" s="4" t="s">
        <v>38</v>
      </c>
      <c r="Q50" s="4" t="s">
        <v>38</v>
      </c>
      <c r="R50" s="4">
        <v>1.3159999999999999E-3</v>
      </c>
      <c r="S50" s="4">
        <v>5.5279999999999999E-5</v>
      </c>
      <c r="T50" s="4">
        <v>5.09</v>
      </c>
    </row>
    <row r="51" spans="1:20" hidden="1" outlineLevel="1" collapsed="1" x14ac:dyDescent="0.2">
      <c r="A51" t="s">
        <v>37</v>
      </c>
      <c r="B51" s="4" t="s">
        <v>38</v>
      </c>
      <c r="C51" s="4" t="s">
        <v>161</v>
      </c>
      <c r="D51" s="4" t="s">
        <v>162</v>
      </c>
      <c r="E51" s="4">
        <v>5.1076000000000003E-2</v>
      </c>
      <c r="F51" s="4">
        <v>5.0826200000000004E-3</v>
      </c>
      <c r="G51" s="4">
        <v>1</v>
      </c>
      <c r="H51" s="4">
        <v>1</v>
      </c>
      <c r="I51" s="4">
        <v>1</v>
      </c>
      <c r="J51" s="4">
        <v>11</v>
      </c>
      <c r="K51" s="4" t="s">
        <v>118</v>
      </c>
      <c r="L51" s="4" t="s">
        <v>163</v>
      </c>
      <c r="M51" s="4" t="s">
        <v>37</v>
      </c>
      <c r="N51" s="4">
        <v>0</v>
      </c>
      <c r="O51" s="4">
        <v>1418.6919</v>
      </c>
      <c r="P51" s="4" t="s">
        <v>38</v>
      </c>
      <c r="Q51" s="4" t="s">
        <v>38</v>
      </c>
      <c r="R51" s="4">
        <v>1.3159999999999999E-3</v>
      </c>
      <c r="S51" s="4">
        <v>1.001E-2</v>
      </c>
      <c r="T51" s="4">
        <v>3.25</v>
      </c>
    </row>
    <row r="52" spans="1:20" hidden="1" outlineLevel="1" collapsed="1" x14ac:dyDescent="0.2">
      <c r="A52" t="s">
        <v>37</v>
      </c>
      <c r="B52" s="4" t="s">
        <v>38</v>
      </c>
      <c r="C52" s="4" t="s">
        <v>164</v>
      </c>
      <c r="D52" s="4" t="s">
        <v>37</v>
      </c>
      <c r="E52" s="4">
        <v>4.8799099999999998E-2</v>
      </c>
      <c r="F52" s="4">
        <v>5.0826200000000004E-3</v>
      </c>
      <c r="G52" s="4">
        <v>1</v>
      </c>
      <c r="H52" s="4">
        <v>1</v>
      </c>
      <c r="I52" s="4">
        <v>1</v>
      </c>
      <c r="J52" s="4">
        <v>2</v>
      </c>
      <c r="K52" s="4" t="s">
        <v>118</v>
      </c>
      <c r="L52" s="4" t="s">
        <v>165</v>
      </c>
      <c r="M52" s="4" t="s">
        <v>37</v>
      </c>
      <c r="N52" s="4">
        <v>0</v>
      </c>
      <c r="O52" s="4">
        <v>2691.3624399999999</v>
      </c>
      <c r="P52" s="4" t="s">
        <v>38</v>
      </c>
      <c r="Q52" s="4" t="s">
        <v>38</v>
      </c>
      <c r="R52" s="4">
        <v>1.3159999999999999E-3</v>
      </c>
      <c r="S52" s="4">
        <v>9.391E-3</v>
      </c>
      <c r="T52" s="4">
        <v>4.0199999999999996</v>
      </c>
    </row>
    <row r="53" spans="1:20" hidden="1" outlineLevel="1" collapsed="1" x14ac:dyDescent="0.2">
      <c r="A53" t="s">
        <v>37</v>
      </c>
      <c r="B53" s="4" t="s">
        <v>38</v>
      </c>
      <c r="C53" s="4" t="s">
        <v>166</v>
      </c>
      <c r="D53" s="4" t="s">
        <v>37</v>
      </c>
      <c r="E53" s="4">
        <v>1.0893700000000001E-3</v>
      </c>
      <c r="F53" s="4">
        <v>5.0826200000000004E-3</v>
      </c>
      <c r="G53" s="4">
        <v>1</v>
      </c>
      <c r="H53" s="4">
        <v>1</v>
      </c>
      <c r="I53" s="4">
        <v>1</v>
      </c>
      <c r="J53" s="4">
        <v>3</v>
      </c>
      <c r="K53" s="4" t="s">
        <v>118</v>
      </c>
      <c r="L53" s="4" t="s">
        <v>167</v>
      </c>
      <c r="M53" s="4" t="s">
        <v>37</v>
      </c>
      <c r="N53" s="4">
        <v>0</v>
      </c>
      <c r="O53" s="4">
        <v>3167.5855099999999</v>
      </c>
      <c r="P53" s="4" t="s">
        <v>38</v>
      </c>
      <c r="Q53" s="4" t="s">
        <v>38</v>
      </c>
      <c r="R53" s="4">
        <v>1.3159999999999999E-3</v>
      </c>
      <c r="S53" s="4">
        <v>4.498E-5</v>
      </c>
      <c r="T53" s="4">
        <v>4.9400000000000004</v>
      </c>
    </row>
    <row r="54" spans="1:20" hidden="1" outlineLevel="1" collapsed="1" x14ac:dyDescent="0.2">
      <c r="A54" t="s">
        <v>37</v>
      </c>
      <c r="B54" s="4" t="s">
        <v>38</v>
      </c>
      <c r="C54" s="4" t="s">
        <v>168</v>
      </c>
      <c r="D54" s="4" t="s">
        <v>37</v>
      </c>
      <c r="E54" s="4">
        <v>0.17141700000000001</v>
      </c>
      <c r="F54" s="4">
        <v>5.0826200000000004E-3</v>
      </c>
      <c r="G54" s="4">
        <v>1</v>
      </c>
      <c r="H54" s="4">
        <v>1</v>
      </c>
      <c r="I54" s="4">
        <v>1</v>
      </c>
      <c r="J54" s="4">
        <v>2</v>
      </c>
      <c r="K54" s="4" t="s">
        <v>118</v>
      </c>
      <c r="L54" s="4" t="s">
        <v>169</v>
      </c>
      <c r="M54" s="4" t="s">
        <v>37</v>
      </c>
      <c r="N54" s="4">
        <v>2</v>
      </c>
      <c r="O54" s="4">
        <v>3851.0185200000001</v>
      </c>
      <c r="P54" s="4" t="s">
        <v>38</v>
      </c>
      <c r="Q54" s="4" t="s">
        <v>38</v>
      </c>
      <c r="R54" s="4">
        <v>1.3159999999999999E-3</v>
      </c>
      <c r="S54" s="4">
        <v>5.7529999999999998E-2</v>
      </c>
      <c r="T54" s="4">
        <v>3.23</v>
      </c>
    </row>
    <row r="55" spans="1:20" hidden="1" outlineLevel="1" collapsed="1" x14ac:dyDescent="0.2">
      <c r="A55" t="s">
        <v>37</v>
      </c>
      <c r="B55" s="4" t="s">
        <v>38</v>
      </c>
      <c r="C55" s="4" t="s">
        <v>170</v>
      </c>
      <c r="D55" s="4" t="s">
        <v>37</v>
      </c>
      <c r="E55" s="4">
        <v>4.5225499999999999E-4</v>
      </c>
      <c r="F55" s="4">
        <v>5.0826200000000004E-3</v>
      </c>
      <c r="G55" s="4">
        <v>1</v>
      </c>
      <c r="H55" s="4">
        <v>1</v>
      </c>
      <c r="I55" s="4">
        <v>1</v>
      </c>
      <c r="J55" s="4">
        <v>4</v>
      </c>
      <c r="K55" s="4" t="s">
        <v>118</v>
      </c>
      <c r="L55" s="4" t="s">
        <v>171</v>
      </c>
      <c r="M55" s="4" t="s">
        <v>37</v>
      </c>
      <c r="N55" s="4">
        <v>0</v>
      </c>
      <c r="O55" s="4">
        <v>1868.0123699999999</v>
      </c>
      <c r="P55" s="4" t="s">
        <v>38</v>
      </c>
      <c r="Q55" s="4" t="s">
        <v>38</v>
      </c>
      <c r="R55" s="4">
        <v>1.3159999999999999E-3</v>
      </c>
      <c r="S55" s="4">
        <v>1.31E-5</v>
      </c>
      <c r="T55" s="4">
        <v>5.15</v>
      </c>
    </row>
    <row r="56" spans="1:20" hidden="1" outlineLevel="1" collapsed="1" x14ac:dyDescent="0.2">
      <c r="A56" t="s">
        <v>37</v>
      </c>
      <c r="B56" s="4" t="s">
        <v>38</v>
      </c>
      <c r="C56" s="4" t="s">
        <v>172</v>
      </c>
      <c r="D56" s="4" t="s">
        <v>37</v>
      </c>
      <c r="E56" s="4">
        <v>8.0186600000000004E-3</v>
      </c>
      <c r="F56" s="4">
        <v>5.0826200000000004E-3</v>
      </c>
      <c r="G56" s="4">
        <v>1</v>
      </c>
      <c r="H56" s="4">
        <v>1</v>
      </c>
      <c r="I56" s="4">
        <v>1</v>
      </c>
      <c r="J56" s="4">
        <v>5</v>
      </c>
      <c r="K56" s="4" t="s">
        <v>118</v>
      </c>
      <c r="L56" s="4" t="s">
        <v>173</v>
      </c>
      <c r="M56" s="4" t="s">
        <v>37</v>
      </c>
      <c r="N56" s="4">
        <v>1</v>
      </c>
      <c r="O56" s="4">
        <v>3139.6521299999999</v>
      </c>
      <c r="P56" s="4" t="s">
        <v>38</v>
      </c>
      <c r="Q56" s="4" t="s">
        <v>38</v>
      </c>
      <c r="R56" s="4">
        <v>1.3159999999999999E-3</v>
      </c>
      <c r="S56" s="4">
        <v>7.3979999999999998E-4</v>
      </c>
      <c r="T56" s="4">
        <v>4.6500000000000004</v>
      </c>
    </row>
    <row r="57" spans="1:20" hidden="1" outlineLevel="1" collapsed="1" x14ac:dyDescent="0.2">
      <c r="A57" t="s">
        <v>37</v>
      </c>
      <c r="B57" s="4" t="s">
        <v>38</v>
      </c>
      <c r="C57" s="4" t="s">
        <v>174</v>
      </c>
      <c r="D57" s="4" t="s">
        <v>37</v>
      </c>
      <c r="E57" s="4">
        <v>1.1002200000000001E-3</v>
      </c>
      <c r="F57" s="4">
        <v>5.0826200000000004E-3</v>
      </c>
      <c r="G57" s="4">
        <v>1</v>
      </c>
      <c r="H57" s="4">
        <v>1</v>
      </c>
      <c r="I57" s="4">
        <v>1</v>
      </c>
      <c r="J57" s="4">
        <v>4</v>
      </c>
      <c r="K57" s="4" t="s">
        <v>118</v>
      </c>
      <c r="L57" s="4" t="s">
        <v>175</v>
      </c>
      <c r="M57" s="4" t="s">
        <v>37</v>
      </c>
      <c r="N57" s="4">
        <v>0</v>
      </c>
      <c r="O57" s="4">
        <v>2052.9468700000002</v>
      </c>
      <c r="P57" s="4" t="s">
        <v>38</v>
      </c>
      <c r="Q57" s="4" t="s">
        <v>38</v>
      </c>
      <c r="R57" s="4">
        <v>1.3159999999999999E-3</v>
      </c>
      <c r="S57" s="4">
        <v>4.5670000000000002E-5</v>
      </c>
      <c r="T57" s="4">
        <v>4.1900000000000004</v>
      </c>
    </row>
    <row r="58" spans="1:20" hidden="1" outlineLevel="1" collapsed="1" x14ac:dyDescent="0.2">
      <c r="A58" t="s">
        <v>37</v>
      </c>
      <c r="B58" s="4" t="s">
        <v>38</v>
      </c>
      <c r="C58" s="4" t="s">
        <v>174</v>
      </c>
      <c r="D58" s="4" t="s">
        <v>176</v>
      </c>
      <c r="E58" s="4">
        <v>7.0662699999999995E-2</v>
      </c>
      <c r="F58" s="4">
        <v>5.0826200000000004E-3</v>
      </c>
      <c r="G58" s="4">
        <v>1</v>
      </c>
      <c r="H58" s="4">
        <v>1</v>
      </c>
      <c r="I58" s="4">
        <v>1</v>
      </c>
      <c r="J58" s="4">
        <v>1</v>
      </c>
      <c r="K58" s="4" t="s">
        <v>118</v>
      </c>
      <c r="L58" s="4" t="s">
        <v>175</v>
      </c>
      <c r="M58" s="4" t="s">
        <v>177</v>
      </c>
      <c r="N58" s="4">
        <v>0</v>
      </c>
      <c r="O58" s="4">
        <v>2132.9132</v>
      </c>
      <c r="P58" s="4" t="s">
        <v>38</v>
      </c>
      <c r="Q58" s="4" t="s">
        <v>38</v>
      </c>
      <c r="R58" s="4">
        <v>1.3159999999999999E-3</v>
      </c>
      <c r="S58" s="4">
        <v>1.585E-2</v>
      </c>
      <c r="T58" s="4">
        <v>3.93</v>
      </c>
    </row>
    <row r="59" spans="1:20" hidden="1" outlineLevel="1" collapsed="1" x14ac:dyDescent="0.2">
      <c r="A59" t="s">
        <v>37</v>
      </c>
      <c r="B59" s="4" t="s">
        <v>38</v>
      </c>
      <c r="C59" s="4" t="s">
        <v>178</v>
      </c>
      <c r="D59" s="4" t="s">
        <v>37</v>
      </c>
      <c r="E59" s="4">
        <v>8.3155299999999998E-3</v>
      </c>
      <c r="F59" s="4">
        <v>5.0826200000000004E-3</v>
      </c>
      <c r="G59" s="4">
        <v>1</v>
      </c>
      <c r="H59" s="4">
        <v>1</v>
      </c>
      <c r="I59" s="4">
        <v>1</v>
      </c>
      <c r="J59" s="4">
        <v>7</v>
      </c>
      <c r="K59" s="4" t="s">
        <v>118</v>
      </c>
      <c r="L59" s="4" t="s">
        <v>179</v>
      </c>
      <c r="M59" s="4" t="s">
        <v>37</v>
      </c>
      <c r="N59" s="4">
        <v>1</v>
      </c>
      <c r="O59" s="4">
        <v>3385.5706500000001</v>
      </c>
      <c r="P59" s="4" t="s">
        <v>38</v>
      </c>
      <c r="Q59" s="4" t="s">
        <v>38</v>
      </c>
      <c r="R59" s="4">
        <v>1.3159999999999999E-3</v>
      </c>
      <c r="S59" s="4">
        <v>7.7660000000000001E-4</v>
      </c>
      <c r="T59" s="4">
        <v>4.42</v>
      </c>
    </row>
    <row r="60" spans="1:20" hidden="1" outlineLevel="1" collapsed="1" x14ac:dyDescent="0.2">
      <c r="A60" t="s">
        <v>37</v>
      </c>
      <c r="B60" s="4" t="s">
        <v>38</v>
      </c>
      <c r="C60" s="4" t="s">
        <v>180</v>
      </c>
      <c r="D60" s="4" t="s">
        <v>37</v>
      </c>
      <c r="E60" s="4">
        <v>1.54214E-2</v>
      </c>
      <c r="F60" s="4">
        <v>5.0826200000000004E-3</v>
      </c>
      <c r="G60" s="4">
        <v>1</v>
      </c>
      <c r="H60" s="4">
        <v>1</v>
      </c>
      <c r="I60" s="4">
        <v>1</v>
      </c>
      <c r="J60" s="4">
        <v>2</v>
      </c>
      <c r="K60" s="4" t="s">
        <v>118</v>
      </c>
      <c r="L60" s="4" t="s">
        <v>181</v>
      </c>
      <c r="M60" s="4" t="s">
        <v>37</v>
      </c>
      <c r="N60" s="4">
        <v>0</v>
      </c>
      <c r="O60" s="4">
        <v>1147.54772</v>
      </c>
      <c r="P60" s="4" t="s">
        <v>38</v>
      </c>
      <c r="Q60" s="4" t="s">
        <v>38</v>
      </c>
      <c r="R60" s="4">
        <v>1.3159999999999999E-3</v>
      </c>
      <c r="S60" s="4">
        <v>1.8489999999999999E-3</v>
      </c>
      <c r="T60" s="4">
        <v>2.95</v>
      </c>
    </row>
    <row r="61" spans="1:20" hidden="1" outlineLevel="1" collapsed="1" x14ac:dyDescent="0.2">
      <c r="A61" t="s">
        <v>37</v>
      </c>
      <c r="B61" s="4" t="s">
        <v>38</v>
      </c>
      <c r="C61" s="4" t="s">
        <v>182</v>
      </c>
      <c r="D61" s="4" t="s">
        <v>37</v>
      </c>
      <c r="E61" s="4">
        <v>7.4739499999999998E-4</v>
      </c>
      <c r="F61" s="4">
        <v>5.0826200000000004E-3</v>
      </c>
      <c r="G61" s="4">
        <v>1</v>
      </c>
      <c r="H61" s="4">
        <v>1</v>
      </c>
      <c r="I61" s="4">
        <v>1</v>
      </c>
      <c r="J61" s="4">
        <v>5</v>
      </c>
      <c r="K61" s="4" t="s">
        <v>118</v>
      </c>
      <c r="L61" s="4" t="s">
        <v>183</v>
      </c>
      <c r="M61" s="4" t="s">
        <v>37</v>
      </c>
      <c r="N61" s="4">
        <v>0</v>
      </c>
      <c r="O61" s="4">
        <v>2146.0590400000001</v>
      </c>
      <c r="P61" s="4" t="s">
        <v>38</v>
      </c>
      <c r="Q61" s="4" t="s">
        <v>38</v>
      </c>
      <c r="R61" s="4">
        <v>1.3159999999999999E-3</v>
      </c>
      <c r="S61" s="4">
        <v>2.65E-5</v>
      </c>
      <c r="T61" s="4">
        <v>5.15</v>
      </c>
    </row>
    <row r="62" spans="1:20" hidden="1" outlineLevel="1" collapsed="1" x14ac:dyDescent="0.2">
      <c r="A62" t="s">
        <v>37</v>
      </c>
      <c r="B62" s="4" t="s">
        <v>38</v>
      </c>
      <c r="C62" s="4" t="s">
        <v>184</v>
      </c>
      <c r="D62" s="4" t="s">
        <v>37</v>
      </c>
      <c r="E62" s="4">
        <v>5.6621899999999997E-4</v>
      </c>
      <c r="F62" s="4">
        <v>5.0826200000000004E-3</v>
      </c>
      <c r="G62" s="4">
        <v>1</v>
      </c>
      <c r="H62" s="4">
        <v>1</v>
      </c>
      <c r="I62" s="4">
        <v>1</v>
      </c>
      <c r="J62" s="4">
        <v>4</v>
      </c>
      <c r="K62" s="4" t="s">
        <v>118</v>
      </c>
      <c r="L62" s="4" t="s">
        <v>185</v>
      </c>
      <c r="M62" s="4" t="s">
        <v>37</v>
      </c>
      <c r="N62" s="4">
        <v>0</v>
      </c>
      <c r="O62" s="4">
        <v>1729.95821</v>
      </c>
      <c r="P62" s="4" t="s">
        <v>38</v>
      </c>
      <c r="Q62" s="4" t="s">
        <v>38</v>
      </c>
      <c r="R62" s="4">
        <v>1.3159999999999999E-3</v>
      </c>
      <c r="S62" s="4">
        <v>1.8E-5</v>
      </c>
      <c r="T62" s="4">
        <v>3.96</v>
      </c>
    </row>
    <row r="63" spans="1:20" hidden="1" outlineLevel="1" collapsed="1" x14ac:dyDescent="0.2">
      <c r="A63" t="s">
        <v>37</v>
      </c>
      <c r="B63" s="4" t="s">
        <v>38</v>
      </c>
      <c r="C63" s="4" t="s">
        <v>186</v>
      </c>
      <c r="D63" s="4" t="s">
        <v>37</v>
      </c>
      <c r="E63" s="4">
        <v>3.25393E-2</v>
      </c>
      <c r="F63" s="4">
        <v>5.0826200000000004E-3</v>
      </c>
      <c r="G63" s="4">
        <v>1</v>
      </c>
      <c r="H63" s="4">
        <v>1</v>
      </c>
      <c r="I63" s="4">
        <v>1</v>
      </c>
      <c r="J63" s="4">
        <v>3</v>
      </c>
      <c r="K63" s="4" t="s">
        <v>118</v>
      </c>
      <c r="L63" s="4" t="s">
        <v>187</v>
      </c>
      <c r="M63" s="4" t="s">
        <v>37</v>
      </c>
      <c r="N63" s="4">
        <v>0</v>
      </c>
      <c r="O63" s="4">
        <v>1809.8501100000001</v>
      </c>
      <c r="P63" s="4" t="s">
        <v>38</v>
      </c>
      <c r="Q63" s="4" t="s">
        <v>38</v>
      </c>
      <c r="R63" s="4">
        <v>1.3159999999999999E-3</v>
      </c>
      <c r="S63" s="4">
        <v>5.2729999999999999E-3</v>
      </c>
      <c r="T63" s="4">
        <v>3.13</v>
      </c>
    </row>
    <row r="64" spans="1:20" hidden="1" outlineLevel="1" collapsed="1" x14ac:dyDescent="0.2">
      <c r="A64" t="s">
        <v>37</v>
      </c>
      <c r="B64" s="4" t="s">
        <v>38</v>
      </c>
      <c r="C64" s="4" t="s">
        <v>188</v>
      </c>
      <c r="D64" s="4" t="s">
        <v>37</v>
      </c>
      <c r="E64" s="4">
        <v>0.33957799999999999</v>
      </c>
      <c r="F64" s="4">
        <v>5.0826200000000004E-3</v>
      </c>
      <c r="G64" s="4">
        <v>1</v>
      </c>
      <c r="H64" s="4">
        <v>1</v>
      </c>
      <c r="I64" s="4">
        <v>1</v>
      </c>
      <c r="J64" s="4">
        <v>1</v>
      </c>
      <c r="K64" s="4" t="s">
        <v>118</v>
      </c>
      <c r="L64" s="4" t="s">
        <v>189</v>
      </c>
      <c r="M64" s="4" t="s">
        <v>37</v>
      </c>
      <c r="N64" s="4">
        <v>0</v>
      </c>
      <c r="O64" s="4">
        <v>1116.58953</v>
      </c>
      <c r="P64" s="4" t="s">
        <v>38</v>
      </c>
      <c r="Q64" s="4" t="s">
        <v>38</v>
      </c>
      <c r="R64" s="4">
        <v>1.3159999999999999E-3</v>
      </c>
      <c r="S64" s="4">
        <v>0.16309999999999999</v>
      </c>
      <c r="T64" s="4">
        <v>1.74</v>
      </c>
    </row>
    <row r="65" spans="1:27" hidden="1" outlineLevel="1" collapsed="1" x14ac:dyDescent="0.2">
      <c r="A65" t="s">
        <v>37</v>
      </c>
      <c r="B65" s="4" t="s">
        <v>38</v>
      </c>
      <c r="C65" s="4" t="s">
        <v>190</v>
      </c>
      <c r="D65" s="4" t="s">
        <v>37</v>
      </c>
      <c r="E65" s="4">
        <v>4.4821599999999998E-3</v>
      </c>
      <c r="F65" s="4">
        <v>5.0826200000000004E-3</v>
      </c>
      <c r="G65" s="4">
        <v>1</v>
      </c>
      <c r="H65" s="4">
        <v>1</v>
      </c>
      <c r="I65" s="4">
        <v>1</v>
      </c>
      <c r="J65" s="4">
        <v>4</v>
      </c>
      <c r="K65" s="4" t="s">
        <v>118</v>
      </c>
      <c r="L65" s="4" t="s">
        <v>191</v>
      </c>
      <c r="M65" s="4" t="s">
        <v>37</v>
      </c>
      <c r="N65" s="4">
        <v>0</v>
      </c>
      <c r="O65" s="4">
        <v>3679.6922199999999</v>
      </c>
      <c r="P65" s="4" t="s">
        <v>38</v>
      </c>
      <c r="Q65" s="4" t="s">
        <v>38</v>
      </c>
      <c r="R65" s="4">
        <v>1.3159999999999999E-3</v>
      </c>
      <c r="S65" s="4">
        <v>3.2620000000000001E-4</v>
      </c>
      <c r="T65" s="4">
        <v>5.75</v>
      </c>
    </row>
    <row r="66" spans="1:27" hidden="1" outlineLevel="1" collapsed="1" x14ac:dyDescent="0.2">
      <c r="A66" t="s">
        <v>37</v>
      </c>
      <c r="B66" s="4" t="s">
        <v>38</v>
      </c>
      <c r="C66" s="4" t="s">
        <v>192</v>
      </c>
      <c r="D66" s="4" t="s">
        <v>193</v>
      </c>
      <c r="E66" s="4">
        <v>0.16325100000000001</v>
      </c>
      <c r="F66" s="4">
        <v>5.0826200000000004E-3</v>
      </c>
      <c r="G66" s="4">
        <v>1</v>
      </c>
      <c r="H66" s="4">
        <v>1</v>
      </c>
      <c r="I66" s="4">
        <v>1</v>
      </c>
      <c r="J66" s="4">
        <v>1</v>
      </c>
      <c r="K66" s="4" t="s">
        <v>118</v>
      </c>
      <c r="L66" s="4" t="s">
        <v>194</v>
      </c>
      <c r="M66" s="4" t="s">
        <v>37</v>
      </c>
      <c r="N66" s="4">
        <v>1</v>
      </c>
      <c r="O66" s="4">
        <v>1933.88816</v>
      </c>
      <c r="P66" s="4" t="s">
        <v>38</v>
      </c>
      <c r="Q66" s="4" t="s">
        <v>38</v>
      </c>
      <c r="R66" s="4">
        <v>1.3159999999999999E-3</v>
      </c>
      <c r="S66" s="4">
        <v>5.355E-2</v>
      </c>
      <c r="T66" s="4">
        <v>3.62</v>
      </c>
    </row>
    <row r="67" spans="1:27" collapsed="1" x14ac:dyDescent="0.2">
      <c r="A67" s="3" t="s">
        <v>27</v>
      </c>
      <c r="B67" s="3" t="s">
        <v>195</v>
      </c>
      <c r="C67" s="3" t="s">
        <v>196</v>
      </c>
      <c r="D67" s="3">
        <v>28</v>
      </c>
      <c r="E67" s="3">
        <v>7</v>
      </c>
      <c r="F67" s="3">
        <v>7</v>
      </c>
      <c r="G67" s="3">
        <v>102</v>
      </c>
      <c r="H67" s="3">
        <v>7</v>
      </c>
      <c r="I67" s="3">
        <v>231</v>
      </c>
      <c r="J67" s="3">
        <v>24.4</v>
      </c>
      <c r="K67" s="3">
        <v>7.18</v>
      </c>
      <c r="L67" s="3">
        <v>430.53</v>
      </c>
      <c r="M67" s="3">
        <v>7</v>
      </c>
      <c r="N67" s="3" t="s">
        <v>197</v>
      </c>
      <c r="O67" s="3" t="s">
        <v>198</v>
      </c>
      <c r="P67" s="3" t="s">
        <v>32</v>
      </c>
      <c r="Q67" s="3" t="s">
        <v>199</v>
      </c>
      <c r="R67" s="3" t="s">
        <v>37</v>
      </c>
      <c r="S67" s="3" t="s">
        <v>37</v>
      </c>
      <c r="T67" s="3" t="s">
        <v>195</v>
      </c>
      <c r="U67" s="3" t="s">
        <v>37</v>
      </c>
      <c r="V67" s="3" t="s">
        <v>37</v>
      </c>
      <c r="W67" s="3" t="s">
        <v>37</v>
      </c>
      <c r="X67" s="3">
        <v>0</v>
      </c>
      <c r="Y67" s="3" t="s">
        <v>38</v>
      </c>
      <c r="Z67" s="3">
        <v>1</v>
      </c>
      <c r="AA67" s="3" t="s">
        <v>200</v>
      </c>
    </row>
    <row r="68" spans="1:27" hidden="1" outlineLevel="1" collapsed="1" x14ac:dyDescent="0.2">
      <c r="A68" t="s">
        <v>37</v>
      </c>
      <c r="B68" s="2" t="s">
        <v>40</v>
      </c>
      <c r="C68" s="2" t="s">
        <v>41</v>
      </c>
      <c r="D68" s="2" t="s">
        <v>26</v>
      </c>
      <c r="E68" s="2" t="s">
        <v>42</v>
      </c>
      <c r="F68" s="2" t="s">
        <v>43</v>
      </c>
      <c r="G68" s="2" t="s">
        <v>25</v>
      </c>
      <c r="H68" s="2" t="s">
        <v>44</v>
      </c>
      <c r="I68" s="2" t="s">
        <v>5</v>
      </c>
      <c r="J68" s="2" t="s">
        <v>6</v>
      </c>
      <c r="K68" s="2" t="s">
        <v>45</v>
      </c>
      <c r="L68" s="2" t="s">
        <v>46</v>
      </c>
      <c r="M68" s="2" t="s">
        <v>47</v>
      </c>
      <c r="N68" s="2" t="s">
        <v>48</v>
      </c>
      <c r="O68" s="2" t="s">
        <v>49</v>
      </c>
      <c r="P68" s="2" t="s">
        <v>24</v>
      </c>
      <c r="Q68" s="2" t="s">
        <v>50</v>
      </c>
      <c r="R68" s="2" t="s">
        <v>51</v>
      </c>
      <c r="S68" s="2" t="s">
        <v>52</v>
      </c>
      <c r="T68" s="2" t="s">
        <v>53</v>
      </c>
    </row>
    <row r="69" spans="1:27" hidden="1" outlineLevel="1" collapsed="1" x14ac:dyDescent="0.2">
      <c r="A69" t="s">
        <v>37</v>
      </c>
      <c r="B69" s="4" t="s">
        <v>38</v>
      </c>
      <c r="C69" s="4" t="s">
        <v>201</v>
      </c>
      <c r="D69" s="4" t="s">
        <v>37</v>
      </c>
      <c r="E69" s="4">
        <v>6.5133299999999995E-5</v>
      </c>
      <c r="F69" s="4">
        <v>5.0826200000000004E-3</v>
      </c>
      <c r="G69" s="4">
        <v>1</v>
      </c>
      <c r="H69" s="4">
        <v>1</v>
      </c>
      <c r="I69" s="4">
        <v>1</v>
      </c>
      <c r="J69" s="4">
        <v>36</v>
      </c>
      <c r="K69" s="4" t="s">
        <v>195</v>
      </c>
      <c r="L69" s="4" t="s">
        <v>202</v>
      </c>
      <c r="M69" s="4" t="s">
        <v>37</v>
      </c>
      <c r="N69" s="4">
        <v>0</v>
      </c>
      <c r="O69" s="4">
        <v>2211.1040400000002</v>
      </c>
      <c r="P69" s="4" t="s">
        <v>38</v>
      </c>
      <c r="Q69" s="4" t="s">
        <v>38</v>
      </c>
      <c r="R69" s="4">
        <v>1.3157889999999999E-3</v>
      </c>
      <c r="S69" s="4">
        <v>8.6820800000000001E-7</v>
      </c>
      <c r="T69" s="4">
        <v>6.63</v>
      </c>
    </row>
    <row r="70" spans="1:27" hidden="1" outlineLevel="1" collapsed="1" x14ac:dyDescent="0.2">
      <c r="A70" t="s">
        <v>37</v>
      </c>
      <c r="B70" s="4" t="s">
        <v>38</v>
      </c>
      <c r="C70" s="4" t="s">
        <v>203</v>
      </c>
      <c r="D70" s="4" t="s">
        <v>204</v>
      </c>
      <c r="E70" s="4">
        <v>3.2646099999999997E-2</v>
      </c>
      <c r="F70" s="4">
        <v>5.0826200000000004E-3</v>
      </c>
      <c r="G70" s="4">
        <v>1</v>
      </c>
      <c r="H70" s="4">
        <v>1</v>
      </c>
      <c r="I70" s="4">
        <v>1</v>
      </c>
      <c r="J70" s="4">
        <v>6</v>
      </c>
      <c r="K70" s="4" t="s">
        <v>195</v>
      </c>
      <c r="L70" s="4" t="s">
        <v>205</v>
      </c>
      <c r="M70" s="4" t="s">
        <v>37</v>
      </c>
      <c r="N70" s="4">
        <v>1</v>
      </c>
      <c r="O70" s="4">
        <v>4491.2612900000004</v>
      </c>
      <c r="P70" s="4" t="s">
        <v>38</v>
      </c>
      <c r="Q70" s="4" t="s">
        <v>38</v>
      </c>
      <c r="R70" s="4">
        <v>1.3159999999999999E-3</v>
      </c>
      <c r="S70" s="4">
        <v>5.3179999999999998E-3</v>
      </c>
      <c r="T70" s="4">
        <v>4.78</v>
      </c>
    </row>
    <row r="71" spans="1:27" hidden="1" outlineLevel="1" collapsed="1" x14ac:dyDescent="0.2">
      <c r="A71" t="s">
        <v>37</v>
      </c>
      <c r="B71" s="4" t="s">
        <v>38</v>
      </c>
      <c r="C71" s="4" t="s">
        <v>206</v>
      </c>
      <c r="D71" s="4" t="s">
        <v>207</v>
      </c>
      <c r="E71" s="4">
        <v>3.9662600000000001E-3</v>
      </c>
      <c r="F71" s="4">
        <v>5.0826200000000004E-3</v>
      </c>
      <c r="G71" s="4">
        <v>1</v>
      </c>
      <c r="H71" s="4">
        <v>1</v>
      </c>
      <c r="I71" s="4">
        <v>1</v>
      </c>
      <c r="J71" s="4">
        <v>18</v>
      </c>
      <c r="K71" s="4" t="s">
        <v>195</v>
      </c>
      <c r="L71" s="4" t="s">
        <v>208</v>
      </c>
      <c r="M71" s="4" t="s">
        <v>37</v>
      </c>
      <c r="N71" s="4">
        <v>0</v>
      </c>
      <c r="O71" s="4">
        <v>2299.1750900000002</v>
      </c>
      <c r="P71" s="4" t="s">
        <v>38</v>
      </c>
      <c r="Q71" s="4" t="s">
        <v>38</v>
      </c>
      <c r="R71" s="4">
        <v>1.3159999999999999E-3</v>
      </c>
      <c r="S71" s="4">
        <v>2.7520000000000002E-4</v>
      </c>
      <c r="T71" s="4">
        <v>6.03</v>
      </c>
    </row>
    <row r="72" spans="1:27" hidden="1" outlineLevel="1" collapsed="1" x14ac:dyDescent="0.2">
      <c r="A72" t="s">
        <v>37</v>
      </c>
      <c r="B72" s="4" t="s">
        <v>38</v>
      </c>
      <c r="C72" s="4" t="s">
        <v>209</v>
      </c>
      <c r="D72" s="4" t="s">
        <v>207</v>
      </c>
      <c r="E72" s="4">
        <v>7.8612200000000004E-3</v>
      </c>
      <c r="F72" s="4">
        <v>5.0826200000000004E-3</v>
      </c>
      <c r="G72" s="4">
        <v>1</v>
      </c>
      <c r="H72" s="4">
        <v>1</v>
      </c>
      <c r="I72" s="4">
        <v>1</v>
      </c>
      <c r="J72" s="4">
        <v>13</v>
      </c>
      <c r="K72" s="4" t="s">
        <v>195</v>
      </c>
      <c r="L72" s="4" t="s">
        <v>210</v>
      </c>
      <c r="M72" s="4" t="s">
        <v>37</v>
      </c>
      <c r="N72" s="4">
        <v>1</v>
      </c>
      <c r="O72" s="4">
        <v>3325.7208999999998</v>
      </c>
      <c r="P72" s="4" t="s">
        <v>38</v>
      </c>
      <c r="Q72" s="4" t="s">
        <v>38</v>
      </c>
      <c r="R72" s="4">
        <v>1.3159999999999999E-3</v>
      </c>
      <c r="S72" s="4">
        <v>7.1679999999999997E-4</v>
      </c>
      <c r="T72" s="4">
        <v>4.04</v>
      </c>
    </row>
    <row r="73" spans="1:27" hidden="1" outlineLevel="1" collapsed="1" x14ac:dyDescent="0.2">
      <c r="A73" t="s">
        <v>37</v>
      </c>
      <c r="B73" s="4" t="s">
        <v>38</v>
      </c>
      <c r="C73" s="4" t="s">
        <v>211</v>
      </c>
      <c r="D73" s="4" t="s">
        <v>37</v>
      </c>
      <c r="E73" s="4">
        <v>3.4629E-2</v>
      </c>
      <c r="F73" s="4">
        <v>5.0826200000000004E-3</v>
      </c>
      <c r="G73" s="4">
        <v>1</v>
      </c>
      <c r="H73" s="4">
        <v>1</v>
      </c>
      <c r="I73" s="4">
        <v>1</v>
      </c>
      <c r="J73" s="4">
        <v>15</v>
      </c>
      <c r="K73" s="4" t="s">
        <v>195</v>
      </c>
      <c r="L73" s="4" t="s">
        <v>212</v>
      </c>
      <c r="M73" s="4" t="s">
        <v>37</v>
      </c>
      <c r="N73" s="4">
        <v>0</v>
      </c>
      <c r="O73" s="4">
        <v>1045.5636500000001</v>
      </c>
      <c r="P73" s="4" t="s">
        <v>38</v>
      </c>
      <c r="Q73" s="4" t="s">
        <v>38</v>
      </c>
      <c r="R73" s="4">
        <v>1.3159999999999999E-3</v>
      </c>
      <c r="S73" s="4">
        <v>5.7790000000000003E-3</v>
      </c>
      <c r="T73" s="4">
        <v>2.73</v>
      </c>
    </row>
    <row r="74" spans="1:27" hidden="1" outlineLevel="1" collapsed="1" x14ac:dyDescent="0.2">
      <c r="A74" t="s">
        <v>37</v>
      </c>
      <c r="B74" s="4" t="s">
        <v>38</v>
      </c>
      <c r="C74" s="4" t="s">
        <v>213</v>
      </c>
      <c r="D74" s="4" t="s">
        <v>214</v>
      </c>
      <c r="E74" s="4">
        <v>0.10284500000000001</v>
      </c>
      <c r="F74" s="4">
        <v>5.0826200000000004E-3</v>
      </c>
      <c r="G74" s="4">
        <v>1</v>
      </c>
      <c r="H74" s="4">
        <v>1</v>
      </c>
      <c r="I74" s="4">
        <v>1</v>
      </c>
      <c r="J74" s="4">
        <v>3</v>
      </c>
      <c r="K74" s="4" t="s">
        <v>195</v>
      </c>
      <c r="L74" s="4" t="s">
        <v>215</v>
      </c>
      <c r="M74" s="4" t="s">
        <v>216</v>
      </c>
      <c r="N74" s="4">
        <v>2</v>
      </c>
      <c r="O74" s="4">
        <v>3030.5156699999998</v>
      </c>
      <c r="P74" s="4" t="s">
        <v>38</v>
      </c>
      <c r="Q74" s="4" t="s">
        <v>38</v>
      </c>
      <c r="R74" s="4">
        <v>1.3159999999999999E-3</v>
      </c>
      <c r="S74" s="4">
        <v>2.726E-2</v>
      </c>
      <c r="T74" s="4">
        <v>4.07</v>
      </c>
    </row>
    <row r="75" spans="1:27" hidden="1" outlineLevel="1" collapsed="1" x14ac:dyDescent="0.2">
      <c r="A75" t="s">
        <v>37</v>
      </c>
      <c r="B75" s="4" t="s">
        <v>38</v>
      </c>
      <c r="C75" s="4" t="s">
        <v>217</v>
      </c>
      <c r="D75" s="4" t="s">
        <v>37</v>
      </c>
      <c r="E75" s="4">
        <v>0.113453</v>
      </c>
      <c r="F75" s="4">
        <v>5.0826200000000004E-3</v>
      </c>
      <c r="G75" s="4">
        <v>1</v>
      </c>
      <c r="H75" s="4">
        <v>1</v>
      </c>
      <c r="I75" s="4">
        <v>1</v>
      </c>
      <c r="J75" s="4">
        <v>11</v>
      </c>
      <c r="K75" s="4" t="s">
        <v>195</v>
      </c>
      <c r="L75" s="4" t="s">
        <v>218</v>
      </c>
      <c r="M75" s="4" t="s">
        <v>37</v>
      </c>
      <c r="N75" s="4">
        <v>0</v>
      </c>
      <c r="O75" s="4">
        <v>842.50942999999995</v>
      </c>
      <c r="P75" s="4" t="s">
        <v>38</v>
      </c>
      <c r="Q75" s="4" t="s">
        <v>38</v>
      </c>
      <c r="R75" s="4">
        <v>1.3159999999999999E-3</v>
      </c>
      <c r="S75" s="4">
        <v>3.1379999999999998E-2</v>
      </c>
      <c r="T75" s="4">
        <v>2.1800000000000002</v>
      </c>
    </row>
    <row r="76" spans="1:27" collapsed="1" x14ac:dyDescent="0.2">
      <c r="A76" s="3" t="s">
        <v>27</v>
      </c>
      <c r="B76" s="3" t="s">
        <v>219</v>
      </c>
      <c r="C76" s="3" t="s">
        <v>220</v>
      </c>
      <c r="D76" s="3">
        <v>32</v>
      </c>
      <c r="E76" s="3">
        <v>18</v>
      </c>
      <c r="F76" s="3">
        <v>18</v>
      </c>
      <c r="G76" s="3">
        <v>74</v>
      </c>
      <c r="H76" s="3">
        <v>18</v>
      </c>
      <c r="I76" s="3">
        <v>821</v>
      </c>
      <c r="J76" s="3">
        <v>95.3</v>
      </c>
      <c r="K76" s="3">
        <v>4.91</v>
      </c>
      <c r="L76" s="3">
        <v>223.58</v>
      </c>
      <c r="M76" s="3">
        <v>18</v>
      </c>
      <c r="N76" s="3" t="s">
        <v>221</v>
      </c>
      <c r="O76" s="3" t="s">
        <v>222</v>
      </c>
      <c r="P76" s="3" t="s">
        <v>37</v>
      </c>
      <c r="Q76" s="3" t="s">
        <v>223</v>
      </c>
      <c r="R76" s="3" t="s">
        <v>224</v>
      </c>
      <c r="S76" s="3" t="s">
        <v>225</v>
      </c>
      <c r="T76" s="3" t="s">
        <v>226</v>
      </c>
      <c r="U76" s="3" t="s">
        <v>37</v>
      </c>
      <c r="V76" s="3" t="s">
        <v>37</v>
      </c>
      <c r="W76" s="3" t="s">
        <v>37</v>
      </c>
      <c r="X76" s="3">
        <v>0</v>
      </c>
      <c r="Y76" s="3" t="s">
        <v>38</v>
      </c>
      <c r="Z76" s="3">
        <v>1</v>
      </c>
      <c r="AA76" s="3" t="s">
        <v>37</v>
      </c>
    </row>
    <row r="77" spans="1:27" hidden="1" outlineLevel="1" collapsed="1" x14ac:dyDescent="0.2">
      <c r="A77" t="s">
        <v>37</v>
      </c>
      <c r="B77" s="2" t="s">
        <v>40</v>
      </c>
      <c r="C77" s="2" t="s">
        <v>41</v>
      </c>
      <c r="D77" s="2" t="s">
        <v>26</v>
      </c>
      <c r="E77" s="2" t="s">
        <v>42</v>
      </c>
      <c r="F77" s="2" t="s">
        <v>43</v>
      </c>
      <c r="G77" s="2" t="s">
        <v>25</v>
      </c>
      <c r="H77" s="2" t="s">
        <v>44</v>
      </c>
      <c r="I77" s="2" t="s">
        <v>5</v>
      </c>
      <c r="J77" s="2" t="s">
        <v>6</v>
      </c>
      <c r="K77" s="2" t="s">
        <v>45</v>
      </c>
      <c r="L77" s="2" t="s">
        <v>46</v>
      </c>
      <c r="M77" s="2" t="s">
        <v>47</v>
      </c>
      <c r="N77" s="2" t="s">
        <v>48</v>
      </c>
      <c r="O77" s="2" t="s">
        <v>49</v>
      </c>
      <c r="P77" s="2" t="s">
        <v>24</v>
      </c>
      <c r="Q77" s="2" t="s">
        <v>50</v>
      </c>
      <c r="R77" s="2" t="s">
        <v>51</v>
      </c>
      <c r="S77" s="2" t="s">
        <v>52</v>
      </c>
      <c r="T77" s="2" t="s">
        <v>53</v>
      </c>
    </row>
    <row r="78" spans="1:27" hidden="1" outlineLevel="1" collapsed="1" x14ac:dyDescent="0.2">
      <c r="A78" t="s">
        <v>37</v>
      </c>
      <c r="B78" s="4" t="s">
        <v>38</v>
      </c>
      <c r="C78" s="4" t="s">
        <v>227</v>
      </c>
      <c r="D78" s="4" t="s">
        <v>37</v>
      </c>
      <c r="E78" s="4">
        <v>2.0547299999999998E-3</v>
      </c>
      <c r="F78" s="4">
        <v>5.0826200000000004E-3</v>
      </c>
      <c r="G78" s="4">
        <v>1</v>
      </c>
      <c r="H78" s="4">
        <v>1</v>
      </c>
      <c r="I78" s="4">
        <v>1</v>
      </c>
      <c r="J78" s="4">
        <v>4</v>
      </c>
      <c r="K78" s="4" t="s">
        <v>219</v>
      </c>
      <c r="L78" s="4" t="s">
        <v>228</v>
      </c>
      <c r="M78" s="4" t="s">
        <v>37</v>
      </c>
      <c r="N78" s="4">
        <v>0</v>
      </c>
      <c r="O78" s="4">
        <v>2022.0025900000001</v>
      </c>
      <c r="P78" s="4" t="s">
        <v>38</v>
      </c>
      <c r="Q78" s="4" t="s">
        <v>38</v>
      </c>
      <c r="R78" s="4">
        <v>1.3159999999999999E-3</v>
      </c>
      <c r="S78" s="4">
        <v>1.094E-4</v>
      </c>
      <c r="T78" s="4">
        <v>5.09</v>
      </c>
    </row>
    <row r="79" spans="1:27" hidden="1" outlineLevel="1" collapsed="1" x14ac:dyDescent="0.2">
      <c r="A79" t="s">
        <v>37</v>
      </c>
      <c r="B79" s="4" t="s">
        <v>38</v>
      </c>
      <c r="C79" s="4" t="s">
        <v>229</v>
      </c>
      <c r="D79" s="4" t="s">
        <v>230</v>
      </c>
      <c r="E79" s="4">
        <v>0.117827</v>
      </c>
      <c r="F79" s="4">
        <v>5.0826200000000004E-3</v>
      </c>
      <c r="G79" s="4">
        <v>1</v>
      </c>
      <c r="H79" s="4">
        <v>1</v>
      </c>
      <c r="I79" s="4">
        <v>1</v>
      </c>
      <c r="J79" s="4">
        <v>1</v>
      </c>
      <c r="K79" s="4" t="s">
        <v>219</v>
      </c>
      <c r="L79" s="4" t="s">
        <v>231</v>
      </c>
      <c r="M79" s="4" t="s">
        <v>37</v>
      </c>
      <c r="N79" s="4">
        <v>1</v>
      </c>
      <c r="O79" s="4">
        <v>3096.4421400000001</v>
      </c>
      <c r="P79" s="4" t="s">
        <v>38</v>
      </c>
      <c r="Q79" s="4" t="s">
        <v>38</v>
      </c>
      <c r="R79" s="4">
        <v>1.3159999999999999E-3</v>
      </c>
      <c r="S79" s="4">
        <v>3.3110000000000001E-2</v>
      </c>
      <c r="T79" s="4">
        <v>4.26</v>
      </c>
    </row>
    <row r="80" spans="1:27" hidden="1" outlineLevel="1" collapsed="1" x14ac:dyDescent="0.2">
      <c r="A80" t="s">
        <v>37</v>
      </c>
      <c r="B80" s="4" t="s">
        <v>38</v>
      </c>
      <c r="C80" s="4" t="s">
        <v>232</v>
      </c>
      <c r="D80" s="4" t="s">
        <v>37</v>
      </c>
      <c r="E80" s="4">
        <v>3.5316E-2</v>
      </c>
      <c r="F80" s="4">
        <v>5.0826200000000004E-3</v>
      </c>
      <c r="G80" s="4">
        <v>1</v>
      </c>
      <c r="H80" s="4">
        <v>1</v>
      </c>
      <c r="I80" s="4">
        <v>1</v>
      </c>
      <c r="J80" s="4">
        <v>5</v>
      </c>
      <c r="K80" s="4" t="s">
        <v>219</v>
      </c>
      <c r="L80" s="4" t="s">
        <v>233</v>
      </c>
      <c r="M80" s="4" t="s">
        <v>37</v>
      </c>
      <c r="N80" s="4">
        <v>0</v>
      </c>
      <c r="O80" s="4">
        <v>2036.0658599999999</v>
      </c>
      <c r="P80" s="4" t="s">
        <v>38</v>
      </c>
      <c r="Q80" s="4" t="s">
        <v>38</v>
      </c>
      <c r="R80" s="4">
        <v>1.3159999999999999E-3</v>
      </c>
      <c r="S80" s="4">
        <v>5.9439999999999996E-3</v>
      </c>
      <c r="T80" s="4">
        <v>4.24</v>
      </c>
    </row>
    <row r="81" spans="1:27" hidden="1" outlineLevel="1" collapsed="1" x14ac:dyDescent="0.2">
      <c r="A81" t="s">
        <v>37</v>
      </c>
      <c r="B81" s="4" t="s">
        <v>38</v>
      </c>
      <c r="C81" s="4" t="s">
        <v>234</v>
      </c>
      <c r="D81" s="4" t="s">
        <v>37</v>
      </c>
      <c r="E81" s="4">
        <v>0.28116099999999999</v>
      </c>
      <c r="F81" s="4">
        <v>5.0826200000000004E-3</v>
      </c>
      <c r="G81" s="4">
        <v>1</v>
      </c>
      <c r="H81" s="4">
        <v>1</v>
      </c>
      <c r="I81" s="4">
        <v>1</v>
      </c>
      <c r="J81" s="4">
        <v>2</v>
      </c>
      <c r="K81" s="4" t="s">
        <v>219</v>
      </c>
      <c r="L81" s="4" t="s">
        <v>235</v>
      </c>
      <c r="M81" s="4" t="s">
        <v>37</v>
      </c>
      <c r="N81" s="4">
        <v>1</v>
      </c>
      <c r="O81" s="4">
        <v>3095.5028400000001</v>
      </c>
      <c r="P81" s="4" t="s">
        <v>38</v>
      </c>
      <c r="Q81" s="4" t="s">
        <v>38</v>
      </c>
      <c r="R81" s="4">
        <v>1.3159999999999999E-3</v>
      </c>
      <c r="S81" s="4">
        <v>0.122</v>
      </c>
      <c r="T81" s="4">
        <v>2.52</v>
      </c>
    </row>
    <row r="82" spans="1:27" hidden="1" outlineLevel="1" collapsed="1" x14ac:dyDescent="0.2">
      <c r="A82" t="s">
        <v>37</v>
      </c>
      <c r="B82" s="4" t="s">
        <v>38</v>
      </c>
      <c r="C82" s="4" t="s">
        <v>236</v>
      </c>
      <c r="D82" s="4" t="s">
        <v>37</v>
      </c>
      <c r="E82" s="4">
        <v>0.33865800000000001</v>
      </c>
      <c r="F82" s="4">
        <v>5.0826200000000004E-3</v>
      </c>
      <c r="G82" s="4">
        <v>1</v>
      </c>
      <c r="H82" s="4">
        <v>1</v>
      </c>
      <c r="I82" s="4">
        <v>1</v>
      </c>
      <c r="J82" s="4">
        <v>1</v>
      </c>
      <c r="K82" s="4" t="s">
        <v>219</v>
      </c>
      <c r="L82" s="4" t="s">
        <v>237</v>
      </c>
      <c r="M82" s="4" t="s">
        <v>37</v>
      </c>
      <c r="N82" s="4">
        <v>1</v>
      </c>
      <c r="O82" s="4">
        <v>2183.0210900000002</v>
      </c>
      <c r="P82" s="4" t="s">
        <v>38</v>
      </c>
      <c r="Q82" s="4" t="s">
        <v>38</v>
      </c>
      <c r="R82" s="4">
        <v>1.3159999999999999E-3</v>
      </c>
      <c r="S82" s="4">
        <v>0.1623</v>
      </c>
      <c r="T82" s="4">
        <v>2.74</v>
      </c>
    </row>
    <row r="83" spans="1:27" hidden="1" outlineLevel="1" collapsed="1" x14ac:dyDescent="0.2">
      <c r="A83" t="s">
        <v>37</v>
      </c>
      <c r="B83" s="4" t="s">
        <v>38</v>
      </c>
      <c r="C83" s="4" t="s">
        <v>238</v>
      </c>
      <c r="D83" s="4" t="s">
        <v>37</v>
      </c>
      <c r="E83" s="4">
        <v>0.28436299999999998</v>
      </c>
      <c r="F83" s="4">
        <v>5.0826200000000004E-3</v>
      </c>
      <c r="G83" s="4">
        <v>1</v>
      </c>
      <c r="H83" s="4">
        <v>1</v>
      </c>
      <c r="I83" s="4">
        <v>1</v>
      </c>
      <c r="J83" s="4">
        <v>1</v>
      </c>
      <c r="K83" s="4" t="s">
        <v>219</v>
      </c>
      <c r="L83" s="4" t="s">
        <v>239</v>
      </c>
      <c r="M83" s="4" t="s">
        <v>37</v>
      </c>
      <c r="N83" s="4">
        <v>0</v>
      </c>
      <c r="O83" s="4">
        <v>1282.7266299999999</v>
      </c>
      <c r="P83" s="4" t="s">
        <v>38</v>
      </c>
      <c r="Q83" s="4" t="s">
        <v>38</v>
      </c>
      <c r="R83" s="4">
        <v>1.3159999999999999E-3</v>
      </c>
      <c r="S83" s="4">
        <v>0.1237</v>
      </c>
      <c r="T83" s="4">
        <v>1.8</v>
      </c>
    </row>
    <row r="84" spans="1:27" hidden="1" outlineLevel="1" collapsed="1" x14ac:dyDescent="0.2">
      <c r="A84" t="s">
        <v>37</v>
      </c>
      <c r="B84" s="4" t="s">
        <v>38</v>
      </c>
      <c r="C84" s="4" t="s">
        <v>240</v>
      </c>
      <c r="D84" s="4" t="s">
        <v>37</v>
      </c>
      <c r="E84" s="4">
        <v>1.5833799999999999E-2</v>
      </c>
      <c r="F84" s="4">
        <v>5.0826200000000004E-3</v>
      </c>
      <c r="G84" s="4">
        <v>1</v>
      </c>
      <c r="H84" s="4">
        <v>1</v>
      </c>
      <c r="I84" s="4">
        <v>1</v>
      </c>
      <c r="J84" s="4">
        <v>9</v>
      </c>
      <c r="K84" s="4" t="s">
        <v>219</v>
      </c>
      <c r="L84" s="4" t="s">
        <v>241</v>
      </c>
      <c r="M84" s="4" t="s">
        <v>37</v>
      </c>
      <c r="N84" s="4">
        <v>0</v>
      </c>
      <c r="O84" s="4">
        <v>1568.81663</v>
      </c>
      <c r="P84" s="4" t="s">
        <v>38</v>
      </c>
      <c r="Q84" s="4" t="s">
        <v>38</v>
      </c>
      <c r="R84" s="4">
        <v>1.3159999999999999E-3</v>
      </c>
      <c r="S84" s="4">
        <v>1.921E-3</v>
      </c>
      <c r="T84" s="4">
        <v>3.1</v>
      </c>
    </row>
    <row r="85" spans="1:27" hidden="1" outlineLevel="1" collapsed="1" x14ac:dyDescent="0.2">
      <c r="A85" t="s">
        <v>37</v>
      </c>
      <c r="B85" s="4" t="s">
        <v>38</v>
      </c>
      <c r="C85" s="4" t="s">
        <v>242</v>
      </c>
      <c r="D85" s="4" t="s">
        <v>37</v>
      </c>
      <c r="E85" s="4">
        <v>5.2180899999999999E-3</v>
      </c>
      <c r="F85" s="4">
        <v>5.0826200000000004E-3</v>
      </c>
      <c r="G85" s="4">
        <v>1</v>
      </c>
      <c r="H85" s="4">
        <v>1</v>
      </c>
      <c r="I85" s="4">
        <v>1</v>
      </c>
      <c r="J85" s="4">
        <v>4</v>
      </c>
      <c r="K85" s="4" t="s">
        <v>219</v>
      </c>
      <c r="L85" s="4" t="s">
        <v>243</v>
      </c>
      <c r="M85" s="4" t="s">
        <v>37</v>
      </c>
      <c r="N85" s="4">
        <v>0</v>
      </c>
      <c r="O85" s="4">
        <v>1542.8050000000001</v>
      </c>
      <c r="P85" s="4" t="s">
        <v>38</v>
      </c>
      <c r="Q85" s="4" t="s">
        <v>38</v>
      </c>
      <c r="R85" s="4">
        <v>1.3159999999999999E-3</v>
      </c>
      <c r="S85" s="4">
        <v>4.0400000000000001E-4</v>
      </c>
      <c r="T85" s="4">
        <v>3.73</v>
      </c>
    </row>
    <row r="86" spans="1:27" hidden="1" outlineLevel="1" collapsed="1" x14ac:dyDescent="0.2">
      <c r="A86" t="s">
        <v>37</v>
      </c>
      <c r="B86" s="4" t="s">
        <v>38</v>
      </c>
      <c r="C86" s="4" t="s">
        <v>244</v>
      </c>
      <c r="D86" s="4" t="s">
        <v>37</v>
      </c>
      <c r="E86" s="4">
        <v>5.02511E-2</v>
      </c>
      <c r="F86" s="4">
        <v>5.0826200000000004E-3</v>
      </c>
      <c r="G86" s="4">
        <v>1</v>
      </c>
      <c r="H86" s="4">
        <v>1</v>
      </c>
      <c r="I86" s="4">
        <v>1</v>
      </c>
      <c r="J86" s="4">
        <v>2</v>
      </c>
      <c r="K86" s="4" t="s">
        <v>219</v>
      </c>
      <c r="L86" s="4" t="s">
        <v>245</v>
      </c>
      <c r="M86" s="4" t="s">
        <v>37</v>
      </c>
      <c r="N86" s="4">
        <v>0</v>
      </c>
      <c r="O86" s="4">
        <v>1026.60545</v>
      </c>
      <c r="P86" s="4" t="s">
        <v>38</v>
      </c>
      <c r="Q86" s="4" t="s">
        <v>38</v>
      </c>
      <c r="R86" s="4">
        <v>1.3159999999999999E-3</v>
      </c>
      <c r="S86" s="4">
        <v>9.7900000000000001E-3</v>
      </c>
      <c r="T86" s="4">
        <v>2.33</v>
      </c>
    </row>
    <row r="87" spans="1:27" hidden="1" outlineLevel="1" collapsed="1" x14ac:dyDescent="0.2">
      <c r="A87" t="s">
        <v>37</v>
      </c>
      <c r="B87" s="4" t="s">
        <v>38</v>
      </c>
      <c r="C87" s="4" t="s">
        <v>246</v>
      </c>
      <c r="D87" s="4" t="s">
        <v>247</v>
      </c>
      <c r="E87" s="4">
        <v>0.229079</v>
      </c>
      <c r="F87" s="4">
        <v>5.0826200000000004E-3</v>
      </c>
      <c r="G87" s="4">
        <v>1</v>
      </c>
      <c r="H87" s="4">
        <v>1</v>
      </c>
      <c r="I87" s="4">
        <v>1</v>
      </c>
      <c r="J87" s="4">
        <v>5</v>
      </c>
      <c r="K87" s="4" t="s">
        <v>219</v>
      </c>
      <c r="L87" s="4" t="s">
        <v>248</v>
      </c>
      <c r="M87" s="4" t="s">
        <v>37</v>
      </c>
      <c r="N87" s="4">
        <v>1</v>
      </c>
      <c r="O87" s="4">
        <v>1575.80468</v>
      </c>
      <c r="P87" s="4" t="s">
        <v>38</v>
      </c>
      <c r="Q87" s="4" t="s">
        <v>38</v>
      </c>
      <c r="R87" s="4">
        <v>1.3159999999999999E-3</v>
      </c>
      <c r="S87" s="4">
        <v>8.8950000000000001E-2</v>
      </c>
      <c r="T87" s="4">
        <v>2.96</v>
      </c>
    </row>
    <row r="88" spans="1:27" hidden="1" outlineLevel="1" collapsed="1" x14ac:dyDescent="0.2">
      <c r="A88" t="s">
        <v>37</v>
      </c>
      <c r="B88" s="4" t="s">
        <v>38</v>
      </c>
      <c r="C88" s="4" t="s">
        <v>249</v>
      </c>
      <c r="D88" s="4" t="s">
        <v>37</v>
      </c>
      <c r="E88" s="4">
        <v>5.4866699999999997E-2</v>
      </c>
      <c r="F88" s="4">
        <v>5.0826200000000004E-3</v>
      </c>
      <c r="G88" s="4">
        <v>1</v>
      </c>
      <c r="H88" s="4">
        <v>1</v>
      </c>
      <c r="I88" s="4">
        <v>1</v>
      </c>
      <c r="J88" s="4">
        <v>4</v>
      </c>
      <c r="K88" s="4" t="s">
        <v>219</v>
      </c>
      <c r="L88" s="4" t="s">
        <v>250</v>
      </c>
      <c r="M88" s="4" t="s">
        <v>37</v>
      </c>
      <c r="N88" s="4">
        <v>0</v>
      </c>
      <c r="O88" s="4">
        <v>1141.6463200000001</v>
      </c>
      <c r="P88" s="4" t="s">
        <v>38</v>
      </c>
      <c r="Q88" s="4" t="s">
        <v>38</v>
      </c>
      <c r="R88" s="4">
        <v>1.3159999999999999E-3</v>
      </c>
      <c r="S88" s="4">
        <v>1.108E-2</v>
      </c>
      <c r="T88" s="4">
        <v>2.82</v>
      </c>
    </row>
    <row r="89" spans="1:27" hidden="1" outlineLevel="1" collapsed="1" x14ac:dyDescent="0.2">
      <c r="A89" t="s">
        <v>37</v>
      </c>
      <c r="B89" s="4" t="s">
        <v>38</v>
      </c>
      <c r="C89" s="4" t="s">
        <v>251</v>
      </c>
      <c r="D89" s="4" t="s">
        <v>37</v>
      </c>
      <c r="E89" s="4">
        <v>9.4069200000000006E-2</v>
      </c>
      <c r="F89" s="4">
        <v>5.0826200000000004E-3</v>
      </c>
      <c r="G89" s="4">
        <v>1</v>
      </c>
      <c r="H89" s="4">
        <v>1</v>
      </c>
      <c r="I89" s="4">
        <v>1</v>
      </c>
      <c r="J89" s="4">
        <v>2</v>
      </c>
      <c r="K89" s="4" t="s">
        <v>219</v>
      </c>
      <c r="L89" s="4" t="s">
        <v>252</v>
      </c>
      <c r="M89" s="4" t="s">
        <v>37</v>
      </c>
      <c r="N89" s="4">
        <v>0</v>
      </c>
      <c r="O89" s="4">
        <v>1654.79187</v>
      </c>
      <c r="P89" s="4" t="s">
        <v>38</v>
      </c>
      <c r="Q89" s="4" t="s">
        <v>38</v>
      </c>
      <c r="R89" s="4">
        <v>1.3159999999999999E-3</v>
      </c>
      <c r="S89" s="4">
        <v>2.3910000000000001E-2</v>
      </c>
      <c r="T89" s="4">
        <v>2.36</v>
      </c>
    </row>
    <row r="90" spans="1:27" hidden="1" outlineLevel="1" collapsed="1" x14ac:dyDescent="0.2">
      <c r="A90" t="s">
        <v>37</v>
      </c>
      <c r="B90" s="4" t="s">
        <v>38</v>
      </c>
      <c r="C90" s="4" t="s">
        <v>253</v>
      </c>
      <c r="D90" s="4" t="s">
        <v>37</v>
      </c>
      <c r="E90" s="4">
        <v>4.2372800000000004E-3</v>
      </c>
      <c r="F90" s="4">
        <v>5.0826200000000004E-3</v>
      </c>
      <c r="G90" s="4">
        <v>1</v>
      </c>
      <c r="H90" s="4">
        <v>1</v>
      </c>
      <c r="I90" s="4">
        <v>1</v>
      </c>
      <c r="J90" s="4">
        <v>6</v>
      </c>
      <c r="K90" s="4" t="s">
        <v>219</v>
      </c>
      <c r="L90" s="4" t="s">
        <v>254</v>
      </c>
      <c r="M90" s="4" t="s">
        <v>37</v>
      </c>
      <c r="N90" s="4">
        <v>1</v>
      </c>
      <c r="O90" s="4">
        <v>1828.04261</v>
      </c>
      <c r="P90" s="4" t="s">
        <v>38</v>
      </c>
      <c r="Q90" s="4" t="s">
        <v>38</v>
      </c>
      <c r="R90" s="4">
        <v>1.3159999999999999E-3</v>
      </c>
      <c r="S90" s="4">
        <v>3.0150000000000001E-4</v>
      </c>
      <c r="T90" s="4">
        <v>4.8</v>
      </c>
    </row>
    <row r="91" spans="1:27" hidden="1" outlineLevel="1" collapsed="1" x14ac:dyDescent="0.2">
      <c r="A91" t="s">
        <v>37</v>
      </c>
      <c r="B91" s="4" t="s">
        <v>38</v>
      </c>
      <c r="C91" s="4" t="s">
        <v>255</v>
      </c>
      <c r="D91" s="4" t="s">
        <v>93</v>
      </c>
      <c r="E91" s="4">
        <v>1.5677900000000002E-2</v>
      </c>
      <c r="F91" s="4">
        <v>5.0826200000000004E-3</v>
      </c>
      <c r="G91" s="4">
        <v>1</v>
      </c>
      <c r="H91" s="4">
        <v>1</v>
      </c>
      <c r="I91" s="4">
        <v>1</v>
      </c>
      <c r="J91" s="4">
        <v>3</v>
      </c>
      <c r="K91" s="4" t="s">
        <v>219</v>
      </c>
      <c r="L91" s="4" t="s">
        <v>256</v>
      </c>
      <c r="M91" s="4" t="s">
        <v>37</v>
      </c>
      <c r="N91" s="4">
        <v>0</v>
      </c>
      <c r="O91" s="4">
        <v>1549.6798799999999</v>
      </c>
      <c r="P91" s="4" t="s">
        <v>38</v>
      </c>
      <c r="Q91" s="4" t="s">
        <v>38</v>
      </c>
      <c r="R91" s="4">
        <v>1.3159999999999999E-3</v>
      </c>
      <c r="S91" s="4">
        <v>1.892E-3</v>
      </c>
      <c r="T91" s="4">
        <v>2.96</v>
      </c>
    </row>
    <row r="92" spans="1:27" hidden="1" outlineLevel="1" collapsed="1" x14ac:dyDescent="0.2">
      <c r="A92" t="s">
        <v>37</v>
      </c>
      <c r="B92" s="4" t="s">
        <v>38</v>
      </c>
      <c r="C92" s="4" t="s">
        <v>257</v>
      </c>
      <c r="D92" s="4" t="s">
        <v>37</v>
      </c>
      <c r="E92" s="4">
        <v>8.4636400000000001E-2</v>
      </c>
      <c r="F92" s="4">
        <v>5.0826200000000004E-3</v>
      </c>
      <c r="G92" s="4">
        <v>1</v>
      </c>
      <c r="H92" s="4">
        <v>1</v>
      </c>
      <c r="I92" s="4">
        <v>1</v>
      </c>
      <c r="J92" s="4">
        <v>8</v>
      </c>
      <c r="K92" s="4" t="s">
        <v>219</v>
      </c>
      <c r="L92" s="4" t="s">
        <v>258</v>
      </c>
      <c r="M92" s="4" t="s">
        <v>37</v>
      </c>
      <c r="N92" s="4">
        <v>1</v>
      </c>
      <c r="O92" s="4">
        <v>2003.97677</v>
      </c>
      <c r="P92" s="4" t="s">
        <v>38</v>
      </c>
      <c r="Q92" s="4" t="s">
        <v>38</v>
      </c>
      <c r="R92" s="4">
        <v>1.3159999999999999E-3</v>
      </c>
      <c r="S92" s="4">
        <v>2.051E-2</v>
      </c>
      <c r="T92" s="4">
        <v>3.93</v>
      </c>
    </row>
    <row r="93" spans="1:27" hidden="1" outlineLevel="1" collapsed="1" x14ac:dyDescent="0.2">
      <c r="A93" t="s">
        <v>37</v>
      </c>
      <c r="B93" s="4" t="s">
        <v>38</v>
      </c>
      <c r="C93" s="4" t="s">
        <v>259</v>
      </c>
      <c r="D93" s="4" t="s">
        <v>37</v>
      </c>
      <c r="E93" s="4">
        <v>8.0718300000000003E-3</v>
      </c>
      <c r="F93" s="4">
        <v>5.0826200000000004E-3</v>
      </c>
      <c r="G93" s="4">
        <v>1</v>
      </c>
      <c r="H93" s="4">
        <v>1</v>
      </c>
      <c r="I93" s="4">
        <v>1</v>
      </c>
      <c r="J93" s="4">
        <v>5</v>
      </c>
      <c r="K93" s="4" t="s">
        <v>219</v>
      </c>
      <c r="L93" s="4" t="s">
        <v>260</v>
      </c>
      <c r="M93" s="4" t="s">
        <v>37</v>
      </c>
      <c r="N93" s="4">
        <v>0</v>
      </c>
      <c r="O93" s="4">
        <v>1468.7390499999999</v>
      </c>
      <c r="P93" s="4" t="s">
        <v>38</v>
      </c>
      <c r="Q93" s="4" t="s">
        <v>38</v>
      </c>
      <c r="R93" s="4">
        <v>1.3159999999999999E-3</v>
      </c>
      <c r="S93" s="4">
        <v>7.4600000000000003E-4</v>
      </c>
      <c r="T93" s="4">
        <v>3.68</v>
      </c>
    </row>
    <row r="94" spans="1:27" hidden="1" outlineLevel="1" collapsed="1" x14ac:dyDescent="0.2">
      <c r="A94" t="s">
        <v>37</v>
      </c>
      <c r="B94" s="4" t="s">
        <v>38</v>
      </c>
      <c r="C94" s="4" t="s">
        <v>261</v>
      </c>
      <c r="D94" s="4" t="s">
        <v>37</v>
      </c>
      <c r="E94" s="4">
        <v>5.7051200000000002E-3</v>
      </c>
      <c r="F94" s="4">
        <v>5.0826200000000004E-3</v>
      </c>
      <c r="G94" s="4">
        <v>1</v>
      </c>
      <c r="H94" s="4">
        <v>1</v>
      </c>
      <c r="I94" s="4">
        <v>1</v>
      </c>
      <c r="J94" s="4">
        <v>6</v>
      </c>
      <c r="K94" s="4" t="s">
        <v>219</v>
      </c>
      <c r="L94" s="4" t="s">
        <v>262</v>
      </c>
      <c r="M94" s="4" t="s">
        <v>37</v>
      </c>
      <c r="N94" s="4">
        <v>0</v>
      </c>
      <c r="O94" s="4">
        <v>1303.67399</v>
      </c>
      <c r="P94" s="4" t="s">
        <v>38</v>
      </c>
      <c r="Q94" s="4" t="s">
        <v>38</v>
      </c>
      <c r="R94" s="4">
        <v>1.3159999999999999E-3</v>
      </c>
      <c r="S94" s="4">
        <v>4.5909999999999999E-4</v>
      </c>
      <c r="T94" s="4">
        <v>3.25</v>
      </c>
    </row>
    <row r="95" spans="1:27" hidden="1" outlineLevel="1" collapsed="1" x14ac:dyDescent="0.2">
      <c r="A95" t="s">
        <v>37</v>
      </c>
      <c r="B95" s="4" t="s">
        <v>38</v>
      </c>
      <c r="C95" s="4" t="s">
        <v>263</v>
      </c>
      <c r="D95" s="4" t="s">
        <v>37</v>
      </c>
      <c r="E95" s="4">
        <v>1.9942700000000001E-2</v>
      </c>
      <c r="F95" s="4">
        <v>5.0826200000000004E-3</v>
      </c>
      <c r="G95" s="4">
        <v>1</v>
      </c>
      <c r="H95" s="4">
        <v>1</v>
      </c>
      <c r="I95" s="4">
        <v>1</v>
      </c>
      <c r="J95" s="4">
        <v>6</v>
      </c>
      <c r="K95" s="4" t="s">
        <v>219</v>
      </c>
      <c r="L95" s="4" t="s">
        <v>264</v>
      </c>
      <c r="M95" s="4" t="s">
        <v>37</v>
      </c>
      <c r="N95" s="4">
        <v>0</v>
      </c>
      <c r="O95" s="4">
        <v>1260.7045599999999</v>
      </c>
      <c r="P95" s="4" t="s">
        <v>38</v>
      </c>
      <c r="Q95" s="4" t="s">
        <v>38</v>
      </c>
      <c r="R95" s="4">
        <v>1.3159999999999999E-3</v>
      </c>
      <c r="S95" s="4">
        <v>2.65E-3</v>
      </c>
      <c r="T95" s="4">
        <v>3.15</v>
      </c>
    </row>
    <row r="96" spans="1:27" collapsed="1" x14ac:dyDescent="0.2">
      <c r="A96" s="3" t="s">
        <v>27</v>
      </c>
      <c r="B96" s="3" t="s">
        <v>265</v>
      </c>
      <c r="C96" s="3" t="s">
        <v>266</v>
      </c>
      <c r="D96" s="3">
        <v>42</v>
      </c>
      <c r="E96" s="3">
        <v>14</v>
      </c>
      <c r="F96" s="3">
        <v>14</v>
      </c>
      <c r="G96" s="3">
        <v>62</v>
      </c>
      <c r="H96" s="3">
        <v>14</v>
      </c>
      <c r="I96" s="3">
        <v>341</v>
      </c>
      <c r="J96" s="3">
        <v>38.4</v>
      </c>
      <c r="K96" s="3">
        <v>5.27</v>
      </c>
      <c r="L96" s="3">
        <v>208.61</v>
      </c>
      <c r="M96" s="3">
        <v>14</v>
      </c>
      <c r="N96" s="3" t="s">
        <v>267</v>
      </c>
      <c r="O96" s="3" t="s">
        <v>268</v>
      </c>
      <c r="P96" s="3" t="s">
        <v>32</v>
      </c>
      <c r="Q96" s="3" t="s">
        <v>269</v>
      </c>
      <c r="R96" s="3" t="s">
        <v>270</v>
      </c>
      <c r="S96" s="3" t="s">
        <v>271</v>
      </c>
      <c r="T96" s="3" t="s">
        <v>272</v>
      </c>
      <c r="U96" s="3" t="s">
        <v>273</v>
      </c>
      <c r="V96" s="3" t="s">
        <v>37</v>
      </c>
      <c r="W96" s="3" t="s">
        <v>37</v>
      </c>
      <c r="X96" s="3">
        <v>1</v>
      </c>
      <c r="Y96" s="3" t="s">
        <v>38</v>
      </c>
      <c r="Z96" s="3">
        <v>1</v>
      </c>
      <c r="AA96" s="3" t="s">
        <v>37</v>
      </c>
    </row>
    <row r="97" spans="1:27" hidden="1" outlineLevel="1" collapsed="1" x14ac:dyDescent="0.2">
      <c r="A97" t="s">
        <v>37</v>
      </c>
      <c r="B97" s="2" t="s">
        <v>40</v>
      </c>
      <c r="C97" s="2" t="s">
        <v>41</v>
      </c>
      <c r="D97" s="2" t="s">
        <v>26</v>
      </c>
      <c r="E97" s="2" t="s">
        <v>42</v>
      </c>
      <c r="F97" s="2" t="s">
        <v>43</v>
      </c>
      <c r="G97" s="2" t="s">
        <v>25</v>
      </c>
      <c r="H97" s="2" t="s">
        <v>44</v>
      </c>
      <c r="I97" s="2" t="s">
        <v>5</v>
      </c>
      <c r="J97" s="2" t="s">
        <v>6</v>
      </c>
      <c r="K97" s="2" t="s">
        <v>45</v>
      </c>
      <c r="L97" s="2" t="s">
        <v>46</v>
      </c>
      <c r="M97" s="2" t="s">
        <v>47</v>
      </c>
      <c r="N97" s="2" t="s">
        <v>48</v>
      </c>
      <c r="O97" s="2" t="s">
        <v>49</v>
      </c>
      <c r="P97" s="2" t="s">
        <v>24</v>
      </c>
      <c r="Q97" s="2" t="s">
        <v>50</v>
      </c>
      <c r="R97" s="2" t="s">
        <v>51</v>
      </c>
      <c r="S97" s="2" t="s">
        <v>52</v>
      </c>
      <c r="T97" s="2" t="s">
        <v>53</v>
      </c>
    </row>
    <row r="98" spans="1:27" hidden="1" outlineLevel="1" collapsed="1" x14ac:dyDescent="0.2">
      <c r="A98" t="s">
        <v>37</v>
      </c>
      <c r="B98" s="4" t="s">
        <v>38</v>
      </c>
      <c r="C98" s="4" t="s">
        <v>274</v>
      </c>
      <c r="D98" s="4" t="s">
        <v>37</v>
      </c>
      <c r="E98" s="4">
        <v>3.4981600000000002E-3</v>
      </c>
      <c r="F98" s="4">
        <v>5.0826200000000004E-3</v>
      </c>
      <c r="G98" s="4">
        <v>1</v>
      </c>
      <c r="H98" s="4">
        <v>1</v>
      </c>
      <c r="I98" s="4">
        <v>1</v>
      </c>
      <c r="J98" s="4">
        <v>4</v>
      </c>
      <c r="K98" s="4" t="s">
        <v>265</v>
      </c>
      <c r="L98" s="4" t="s">
        <v>275</v>
      </c>
      <c r="M98" s="4" t="s">
        <v>37</v>
      </c>
      <c r="N98" s="4">
        <v>0</v>
      </c>
      <c r="O98" s="4">
        <v>1822.8969999999999</v>
      </c>
      <c r="P98" s="4" t="s">
        <v>38</v>
      </c>
      <c r="Q98" s="4" t="s">
        <v>38</v>
      </c>
      <c r="R98" s="4">
        <v>1.3159999999999999E-3</v>
      </c>
      <c r="S98" s="4">
        <v>2.3039999999999999E-4</v>
      </c>
      <c r="T98" s="4">
        <v>4.28</v>
      </c>
    </row>
    <row r="99" spans="1:27" hidden="1" outlineLevel="1" collapsed="1" x14ac:dyDescent="0.2">
      <c r="A99" t="s">
        <v>37</v>
      </c>
      <c r="B99" s="4" t="s">
        <v>38</v>
      </c>
      <c r="C99" s="4" t="s">
        <v>276</v>
      </c>
      <c r="D99" s="4" t="s">
        <v>37</v>
      </c>
      <c r="E99" s="4">
        <v>0.103172</v>
      </c>
      <c r="F99" s="4">
        <v>5.0826200000000004E-3</v>
      </c>
      <c r="G99" s="4">
        <v>1</v>
      </c>
      <c r="H99" s="4">
        <v>1</v>
      </c>
      <c r="I99" s="4">
        <v>1</v>
      </c>
      <c r="J99" s="4">
        <v>1</v>
      </c>
      <c r="K99" s="4" t="s">
        <v>265</v>
      </c>
      <c r="L99" s="4" t="s">
        <v>277</v>
      </c>
      <c r="M99" s="4" t="s">
        <v>37</v>
      </c>
      <c r="N99" s="4">
        <v>0</v>
      </c>
      <c r="O99" s="4">
        <v>937.46253999999999</v>
      </c>
      <c r="P99" s="4" t="s">
        <v>38</v>
      </c>
      <c r="Q99" s="4" t="s">
        <v>38</v>
      </c>
      <c r="R99" s="4">
        <v>1.3159999999999999E-3</v>
      </c>
      <c r="S99" s="4">
        <v>2.733E-2</v>
      </c>
      <c r="T99" s="4">
        <v>2.04</v>
      </c>
    </row>
    <row r="100" spans="1:27" hidden="1" outlineLevel="1" collapsed="1" x14ac:dyDescent="0.2">
      <c r="A100" t="s">
        <v>37</v>
      </c>
      <c r="B100" s="4" t="s">
        <v>38</v>
      </c>
      <c r="C100" s="4" t="s">
        <v>278</v>
      </c>
      <c r="D100" s="4" t="s">
        <v>57</v>
      </c>
      <c r="E100" s="4">
        <v>4.6319100000000002E-2</v>
      </c>
      <c r="F100" s="4">
        <v>5.0826200000000004E-3</v>
      </c>
      <c r="G100" s="4">
        <v>1</v>
      </c>
      <c r="H100" s="4">
        <v>1</v>
      </c>
      <c r="I100" s="4">
        <v>1</v>
      </c>
      <c r="J100" s="4">
        <v>2</v>
      </c>
      <c r="K100" s="4" t="s">
        <v>265</v>
      </c>
      <c r="L100" s="4" t="s">
        <v>279</v>
      </c>
      <c r="M100" s="4" t="s">
        <v>37</v>
      </c>
      <c r="N100" s="4">
        <v>0</v>
      </c>
      <c r="O100" s="4">
        <v>1187.53611</v>
      </c>
      <c r="P100" s="4" t="s">
        <v>38</v>
      </c>
      <c r="Q100" s="4" t="s">
        <v>38</v>
      </c>
      <c r="R100" s="4">
        <v>1.3159999999999999E-3</v>
      </c>
      <c r="S100" s="4">
        <v>8.7139999999999995E-3</v>
      </c>
      <c r="T100" s="4">
        <v>1.89</v>
      </c>
    </row>
    <row r="101" spans="1:27" hidden="1" outlineLevel="1" collapsed="1" x14ac:dyDescent="0.2">
      <c r="A101" t="s">
        <v>37</v>
      </c>
      <c r="B101" s="4" t="s">
        <v>38</v>
      </c>
      <c r="C101" s="4" t="s">
        <v>280</v>
      </c>
      <c r="D101" s="4" t="s">
        <v>37</v>
      </c>
      <c r="E101" s="4">
        <v>1.67958E-3</v>
      </c>
      <c r="F101" s="4">
        <v>5.0826200000000004E-3</v>
      </c>
      <c r="G101" s="4">
        <v>1</v>
      </c>
      <c r="H101" s="4">
        <v>1</v>
      </c>
      <c r="I101" s="4">
        <v>1</v>
      </c>
      <c r="J101" s="4">
        <v>7</v>
      </c>
      <c r="K101" s="4" t="s">
        <v>265</v>
      </c>
      <c r="L101" s="4" t="s">
        <v>281</v>
      </c>
      <c r="M101" s="4" t="s">
        <v>37</v>
      </c>
      <c r="N101" s="4">
        <v>0</v>
      </c>
      <c r="O101" s="4">
        <v>1767.96396</v>
      </c>
      <c r="P101" s="4" t="s">
        <v>38</v>
      </c>
      <c r="Q101" s="4" t="s">
        <v>38</v>
      </c>
      <c r="R101" s="4">
        <v>1.3159999999999999E-3</v>
      </c>
      <c r="S101" s="4">
        <v>8.2650000000000003E-5</v>
      </c>
      <c r="T101" s="4">
        <v>4.5199999999999996</v>
      </c>
    </row>
    <row r="102" spans="1:27" hidden="1" outlineLevel="1" collapsed="1" x14ac:dyDescent="0.2">
      <c r="A102" t="s">
        <v>37</v>
      </c>
      <c r="B102" s="4" t="s">
        <v>38</v>
      </c>
      <c r="C102" s="4" t="s">
        <v>282</v>
      </c>
      <c r="D102" s="4" t="s">
        <v>283</v>
      </c>
      <c r="E102" s="4">
        <v>4.8201900000000002E-3</v>
      </c>
      <c r="F102" s="4">
        <v>5.0826200000000004E-3</v>
      </c>
      <c r="G102" s="4">
        <v>1</v>
      </c>
      <c r="H102" s="4">
        <v>1</v>
      </c>
      <c r="I102" s="4">
        <v>1</v>
      </c>
      <c r="J102" s="4">
        <v>6</v>
      </c>
      <c r="K102" s="4" t="s">
        <v>265</v>
      </c>
      <c r="L102" s="4" t="s">
        <v>284</v>
      </c>
      <c r="M102" s="4" t="s">
        <v>37</v>
      </c>
      <c r="N102" s="4">
        <v>0</v>
      </c>
      <c r="O102" s="4">
        <v>1707.8635400000001</v>
      </c>
      <c r="P102" s="4" t="s">
        <v>38</v>
      </c>
      <c r="Q102" s="4" t="s">
        <v>38</v>
      </c>
      <c r="R102" s="4">
        <v>1.3159999999999999E-3</v>
      </c>
      <c r="S102" s="4">
        <v>3.612E-4</v>
      </c>
      <c r="T102" s="4">
        <v>4.08</v>
      </c>
    </row>
    <row r="103" spans="1:27" hidden="1" outlineLevel="1" collapsed="1" x14ac:dyDescent="0.2">
      <c r="A103" t="s">
        <v>37</v>
      </c>
      <c r="B103" s="4" t="s">
        <v>38</v>
      </c>
      <c r="C103" s="4" t="s">
        <v>285</v>
      </c>
      <c r="D103" s="4" t="s">
        <v>37</v>
      </c>
      <c r="E103" s="4">
        <v>4.6018000000000003E-2</v>
      </c>
      <c r="F103" s="4">
        <v>5.0826200000000004E-3</v>
      </c>
      <c r="G103" s="4">
        <v>1</v>
      </c>
      <c r="H103" s="4">
        <v>1</v>
      </c>
      <c r="I103" s="4">
        <v>1</v>
      </c>
      <c r="J103" s="4">
        <v>7</v>
      </c>
      <c r="K103" s="4" t="s">
        <v>265</v>
      </c>
      <c r="L103" s="4" t="s">
        <v>286</v>
      </c>
      <c r="M103" s="4" t="s">
        <v>37</v>
      </c>
      <c r="N103" s="4">
        <v>1</v>
      </c>
      <c r="O103" s="4">
        <v>2291.2030199999999</v>
      </c>
      <c r="P103" s="4" t="s">
        <v>38</v>
      </c>
      <c r="Q103" s="4" t="s">
        <v>38</v>
      </c>
      <c r="R103" s="4">
        <v>1.3159999999999999E-3</v>
      </c>
      <c r="S103" s="4">
        <v>8.6169999999999997E-3</v>
      </c>
      <c r="T103" s="4">
        <v>4.0199999999999996</v>
      </c>
    </row>
    <row r="104" spans="1:27" hidden="1" outlineLevel="1" collapsed="1" x14ac:dyDescent="0.2">
      <c r="A104" t="s">
        <v>37</v>
      </c>
      <c r="B104" s="4" t="s">
        <v>38</v>
      </c>
      <c r="C104" s="4" t="s">
        <v>287</v>
      </c>
      <c r="D104" s="4" t="s">
        <v>93</v>
      </c>
      <c r="E104" s="4">
        <v>3.5800300000000001E-3</v>
      </c>
      <c r="F104" s="4">
        <v>5.0826200000000004E-3</v>
      </c>
      <c r="G104" s="4">
        <v>1</v>
      </c>
      <c r="H104" s="4">
        <v>1</v>
      </c>
      <c r="I104" s="4">
        <v>1</v>
      </c>
      <c r="J104" s="4">
        <v>6</v>
      </c>
      <c r="K104" s="4" t="s">
        <v>265</v>
      </c>
      <c r="L104" s="4" t="s">
        <v>288</v>
      </c>
      <c r="M104" s="4" t="s">
        <v>37</v>
      </c>
      <c r="N104" s="4">
        <v>0</v>
      </c>
      <c r="O104" s="4">
        <v>1300.6929500000001</v>
      </c>
      <c r="P104" s="4" t="s">
        <v>38</v>
      </c>
      <c r="Q104" s="4" t="s">
        <v>38</v>
      </c>
      <c r="R104" s="4">
        <v>1.3159999999999999E-3</v>
      </c>
      <c r="S104" s="4">
        <v>2.3800000000000001E-4</v>
      </c>
      <c r="T104" s="4">
        <v>3.32</v>
      </c>
    </row>
    <row r="105" spans="1:27" hidden="1" outlineLevel="1" collapsed="1" x14ac:dyDescent="0.2">
      <c r="A105" t="s">
        <v>37</v>
      </c>
      <c r="B105" s="4" t="s">
        <v>38</v>
      </c>
      <c r="C105" s="4" t="s">
        <v>289</v>
      </c>
      <c r="D105" s="4" t="s">
        <v>93</v>
      </c>
      <c r="E105" s="4">
        <v>0.221138</v>
      </c>
      <c r="F105" s="4">
        <v>5.0826200000000004E-3</v>
      </c>
      <c r="G105" s="4">
        <v>1</v>
      </c>
      <c r="H105" s="4">
        <v>1</v>
      </c>
      <c r="I105" s="4">
        <v>1</v>
      </c>
      <c r="J105" s="4">
        <v>3</v>
      </c>
      <c r="K105" s="4" t="s">
        <v>265</v>
      </c>
      <c r="L105" s="4" t="s">
        <v>290</v>
      </c>
      <c r="M105" s="4" t="s">
        <v>37</v>
      </c>
      <c r="N105" s="4">
        <v>1</v>
      </c>
      <c r="O105" s="4">
        <v>2135.1052800000002</v>
      </c>
      <c r="P105" s="4" t="s">
        <v>38</v>
      </c>
      <c r="Q105" s="4" t="s">
        <v>38</v>
      </c>
      <c r="R105" s="4">
        <v>1.3159999999999999E-3</v>
      </c>
      <c r="S105" s="4">
        <v>8.4290000000000004E-2</v>
      </c>
      <c r="T105" s="4">
        <v>2.65</v>
      </c>
    </row>
    <row r="106" spans="1:27" hidden="1" outlineLevel="1" collapsed="1" x14ac:dyDescent="0.2">
      <c r="A106" t="s">
        <v>37</v>
      </c>
      <c r="B106" s="4" t="s">
        <v>38</v>
      </c>
      <c r="C106" s="4" t="s">
        <v>291</v>
      </c>
      <c r="D106" s="4" t="s">
        <v>37</v>
      </c>
      <c r="E106" s="4">
        <v>1.52695E-2</v>
      </c>
      <c r="F106" s="4">
        <v>5.0826200000000004E-3</v>
      </c>
      <c r="G106" s="4">
        <v>1</v>
      </c>
      <c r="H106" s="4">
        <v>1</v>
      </c>
      <c r="I106" s="4">
        <v>1</v>
      </c>
      <c r="J106" s="4">
        <v>5</v>
      </c>
      <c r="K106" s="4" t="s">
        <v>265</v>
      </c>
      <c r="L106" s="4" t="s">
        <v>292</v>
      </c>
      <c r="M106" s="4" t="s">
        <v>37</v>
      </c>
      <c r="N106" s="4">
        <v>0</v>
      </c>
      <c r="O106" s="4">
        <v>1057.6000300000001</v>
      </c>
      <c r="P106" s="4" t="s">
        <v>38</v>
      </c>
      <c r="Q106" s="4" t="s">
        <v>38</v>
      </c>
      <c r="R106" s="4">
        <v>1.3159999999999999E-3</v>
      </c>
      <c r="S106" s="4">
        <v>1.823E-3</v>
      </c>
      <c r="T106" s="4">
        <v>2.4300000000000002</v>
      </c>
    </row>
    <row r="107" spans="1:27" hidden="1" outlineLevel="1" collapsed="1" x14ac:dyDescent="0.2">
      <c r="A107" t="s">
        <v>37</v>
      </c>
      <c r="B107" s="4" t="s">
        <v>38</v>
      </c>
      <c r="C107" s="4" t="s">
        <v>293</v>
      </c>
      <c r="D107" s="4" t="s">
        <v>37</v>
      </c>
      <c r="E107" s="4">
        <v>6.7752499999999993E-2</v>
      </c>
      <c r="F107" s="4">
        <v>5.0826200000000004E-3</v>
      </c>
      <c r="G107" s="4">
        <v>1</v>
      </c>
      <c r="H107" s="4">
        <v>1</v>
      </c>
      <c r="I107" s="4">
        <v>1</v>
      </c>
      <c r="J107" s="4">
        <v>3</v>
      </c>
      <c r="K107" s="4" t="s">
        <v>265</v>
      </c>
      <c r="L107" s="4" t="s">
        <v>294</v>
      </c>
      <c r="M107" s="4" t="s">
        <v>37</v>
      </c>
      <c r="N107" s="4">
        <v>0</v>
      </c>
      <c r="O107" s="4">
        <v>1035.5469399999999</v>
      </c>
      <c r="P107" s="4" t="s">
        <v>38</v>
      </c>
      <c r="Q107" s="4" t="s">
        <v>38</v>
      </c>
      <c r="R107" s="4">
        <v>1.3159999999999999E-3</v>
      </c>
      <c r="S107" s="4">
        <v>1.4919999999999999E-2</v>
      </c>
      <c r="T107" s="4">
        <v>1.65</v>
      </c>
    </row>
    <row r="108" spans="1:27" hidden="1" outlineLevel="1" collapsed="1" x14ac:dyDescent="0.2">
      <c r="A108" t="s">
        <v>37</v>
      </c>
      <c r="B108" s="4" t="s">
        <v>38</v>
      </c>
      <c r="C108" s="4" t="s">
        <v>295</v>
      </c>
      <c r="D108" s="4" t="s">
        <v>37</v>
      </c>
      <c r="E108" s="4">
        <v>1.7537899999999999E-2</v>
      </c>
      <c r="F108" s="4">
        <v>5.0826200000000004E-3</v>
      </c>
      <c r="G108" s="4">
        <v>1</v>
      </c>
      <c r="H108" s="4">
        <v>1</v>
      </c>
      <c r="I108" s="4">
        <v>1</v>
      </c>
      <c r="J108" s="4">
        <v>5</v>
      </c>
      <c r="K108" s="4" t="s">
        <v>265</v>
      </c>
      <c r="L108" s="4" t="s">
        <v>296</v>
      </c>
      <c r="M108" s="4" t="s">
        <v>37</v>
      </c>
      <c r="N108" s="4">
        <v>0</v>
      </c>
      <c r="O108" s="4">
        <v>1795.9840300000001</v>
      </c>
      <c r="P108" s="4" t="s">
        <v>38</v>
      </c>
      <c r="Q108" s="4" t="s">
        <v>38</v>
      </c>
      <c r="R108" s="4">
        <v>1.3159999999999999E-3</v>
      </c>
      <c r="S108" s="4">
        <v>2.2160000000000001E-3</v>
      </c>
      <c r="T108" s="4">
        <v>3.41</v>
      </c>
    </row>
    <row r="109" spans="1:27" hidden="1" outlineLevel="1" collapsed="1" x14ac:dyDescent="0.2">
      <c r="A109" t="s">
        <v>37</v>
      </c>
      <c r="B109" s="4" t="s">
        <v>38</v>
      </c>
      <c r="C109" s="4" t="s">
        <v>297</v>
      </c>
      <c r="D109" s="4" t="s">
        <v>37</v>
      </c>
      <c r="E109" s="4">
        <v>2.2764E-3</v>
      </c>
      <c r="F109" s="4">
        <v>5.0826200000000004E-3</v>
      </c>
      <c r="G109" s="4">
        <v>1</v>
      </c>
      <c r="H109" s="4">
        <v>1</v>
      </c>
      <c r="I109" s="4">
        <v>1</v>
      </c>
      <c r="J109" s="4">
        <v>4</v>
      </c>
      <c r="K109" s="4" t="s">
        <v>265</v>
      </c>
      <c r="L109" s="4" t="s">
        <v>298</v>
      </c>
      <c r="M109" s="4" t="s">
        <v>37</v>
      </c>
      <c r="N109" s="4">
        <v>0</v>
      </c>
      <c r="O109" s="4">
        <v>1935.82429</v>
      </c>
      <c r="P109" s="4" t="s">
        <v>38</v>
      </c>
      <c r="Q109" s="4" t="s">
        <v>38</v>
      </c>
      <c r="R109" s="4">
        <v>1.3159999999999999E-3</v>
      </c>
      <c r="S109" s="4">
        <v>1.2659999999999999E-4</v>
      </c>
      <c r="T109" s="4">
        <v>4.2</v>
      </c>
    </row>
    <row r="110" spans="1:27" hidden="1" outlineLevel="1" collapsed="1" x14ac:dyDescent="0.2">
      <c r="A110" t="s">
        <v>37</v>
      </c>
      <c r="B110" s="4" t="s">
        <v>38</v>
      </c>
      <c r="C110" s="4" t="s">
        <v>299</v>
      </c>
      <c r="D110" s="4" t="s">
        <v>37</v>
      </c>
      <c r="E110" s="4">
        <v>2.9587700000000001E-2</v>
      </c>
      <c r="F110" s="4">
        <v>5.0826200000000004E-3</v>
      </c>
      <c r="G110" s="4">
        <v>1</v>
      </c>
      <c r="H110" s="4">
        <v>1</v>
      </c>
      <c r="I110" s="4">
        <v>1</v>
      </c>
      <c r="J110" s="4">
        <v>8</v>
      </c>
      <c r="K110" s="4" t="s">
        <v>265</v>
      </c>
      <c r="L110" s="4" t="s">
        <v>300</v>
      </c>
      <c r="M110" s="4" t="s">
        <v>37</v>
      </c>
      <c r="N110" s="4">
        <v>1</v>
      </c>
      <c r="O110" s="4">
        <v>2091.9254000000001</v>
      </c>
      <c r="P110" s="4" t="s">
        <v>38</v>
      </c>
      <c r="Q110" s="4" t="s">
        <v>38</v>
      </c>
      <c r="R110" s="4">
        <v>1.3159999999999999E-3</v>
      </c>
      <c r="S110" s="4">
        <v>4.614E-3</v>
      </c>
      <c r="T110" s="4">
        <v>4.3499999999999996</v>
      </c>
    </row>
    <row r="111" spans="1:27" hidden="1" outlineLevel="1" collapsed="1" x14ac:dyDescent="0.2">
      <c r="A111" t="s">
        <v>37</v>
      </c>
      <c r="B111" s="4" t="s">
        <v>38</v>
      </c>
      <c r="C111" s="4" t="s">
        <v>301</v>
      </c>
      <c r="D111" s="4" t="s">
        <v>37</v>
      </c>
      <c r="E111" s="4">
        <v>0.140372</v>
      </c>
      <c r="F111" s="4">
        <v>5.0826200000000004E-3</v>
      </c>
      <c r="G111" s="4">
        <v>1</v>
      </c>
      <c r="H111" s="4">
        <v>1</v>
      </c>
      <c r="I111" s="4">
        <v>1</v>
      </c>
      <c r="J111" s="4">
        <v>1</v>
      </c>
      <c r="K111" s="4" t="s">
        <v>265</v>
      </c>
      <c r="L111" s="4" t="s">
        <v>302</v>
      </c>
      <c r="M111" s="4" t="s">
        <v>37</v>
      </c>
      <c r="N111" s="4">
        <v>1</v>
      </c>
      <c r="O111" s="4">
        <v>2346.1976</v>
      </c>
      <c r="P111" s="4" t="s">
        <v>38</v>
      </c>
      <c r="Q111" s="4" t="s">
        <v>38</v>
      </c>
      <c r="R111" s="4">
        <v>1.3159999999999999E-3</v>
      </c>
      <c r="S111" s="4">
        <v>4.2779999999999999E-2</v>
      </c>
      <c r="T111" s="4">
        <v>4.41</v>
      </c>
    </row>
    <row r="112" spans="1:27" collapsed="1" x14ac:dyDescent="0.2">
      <c r="A112" s="3" t="s">
        <v>27</v>
      </c>
      <c r="B112" s="3" t="s">
        <v>303</v>
      </c>
      <c r="C112" s="3" t="s">
        <v>304</v>
      </c>
      <c r="D112" s="3">
        <v>46</v>
      </c>
      <c r="E112" s="3">
        <v>7</v>
      </c>
      <c r="F112" s="3">
        <v>7</v>
      </c>
      <c r="G112" s="3">
        <v>29</v>
      </c>
      <c r="H112" s="3">
        <v>7</v>
      </c>
      <c r="I112" s="3">
        <v>196</v>
      </c>
      <c r="J112" s="3">
        <v>22.3</v>
      </c>
      <c r="K112" s="3">
        <v>5.43</v>
      </c>
      <c r="L112" s="3">
        <v>71.849999999999994</v>
      </c>
      <c r="M112" s="3">
        <v>7</v>
      </c>
      <c r="N112" s="3" t="s">
        <v>305</v>
      </c>
      <c r="O112" s="3" t="s">
        <v>268</v>
      </c>
      <c r="P112" s="3" t="s">
        <v>32</v>
      </c>
      <c r="Q112" s="3" t="s">
        <v>306</v>
      </c>
      <c r="R112" s="3" t="s">
        <v>307</v>
      </c>
      <c r="S112" s="3" t="s">
        <v>308</v>
      </c>
      <c r="T112" s="3" t="s">
        <v>309</v>
      </c>
      <c r="U112" s="3" t="s">
        <v>273</v>
      </c>
      <c r="V112" s="3" t="s">
        <v>37</v>
      </c>
      <c r="W112" s="3" t="s">
        <v>37</v>
      </c>
      <c r="X112" s="3">
        <v>2</v>
      </c>
      <c r="Y112" s="3" t="s">
        <v>38</v>
      </c>
      <c r="Z112" s="3">
        <v>1</v>
      </c>
      <c r="AA112" s="3" t="s">
        <v>37</v>
      </c>
    </row>
    <row r="113" spans="1:27" hidden="1" outlineLevel="1" collapsed="1" x14ac:dyDescent="0.2">
      <c r="A113" t="s">
        <v>37</v>
      </c>
      <c r="B113" s="2" t="s">
        <v>40</v>
      </c>
      <c r="C113" s="2" t="s">
        <v>41</v>
      </c>
      <c r="D113" s="2" t="s">
        <v>26</v>
      </c>
      <c r="E113" s="2" t="s">
        <v>42</v>
      </c>
      <c r="F113" s="2" t="s">
        <v>43</v>
      </c>
      <c r="G113" s="2" t="s">
        <v>25</v>
      </c>
      <c r="H113" s="2" t="s">
        <v>44</v>
      </c>
      <c r="I113" s="2" t="s">
        <v>5</v>
      </c>
      <c r="J113" s="2" t="s">
        <v>6</v>
      </c>
      <c r="K113" s="2" t="s">
        <v>45</v>
      </c>
      <c r="L113" s="2" t="s">
        <v>46</v>
      </c>
      <c r="M113" s="2" t="s">
        <v>47</v>
      </c>
      <c r="N113" s="2" t="s">
        <v>48</v>
      </c>
      <c r="O113" s="2" t="s">
        <v>49</v>
      </c>
      <c r="P113" s="2" t="s">
        <v>24</v>
      </c>
      <c r="Q113" s="2" t="s">
        <v>50</v>
      </c>
      <c r="R113" s="2" t="s">
        <v>51</v>
      </c>
      <c r="S113" s="2" t="s">
        <v>52</v>
      </c>
      <c r="T113" s="2" t="s">
        <v>53</v>
      </c>
    </row>
    <row r="114" spans="1:27" hidden="1" outlineLevel="1" collapsed="1" x14ac:dyDescent="0.2">
      <c r="A114" t="s">
        <v>37</v>
      </c>
      <c r="B114" s="4" t="s">
        <v>38</v>
      </c>
      <c r="C114" s="4" t="s">
        <v>310</v>
      </c>
      <c r="D114" s="4" t="s">
        <v>37</v>
      </c>
      <c r="E114" s="4">
        <v>3.1889700000000002E-3</v>
      </c>
      <c r="F114" s="4">
        <v>5.0826200000000004E-3</v>
      </c>
      <c r="G114" s="4">
        <v>1</v>
      </c>
      <c r="H114" s="4">
        <v>1</v>
      </c>
      <c r="I114" s="4">
        <v>1</v>
      </c>
      <c r="J114" s="4">
        <v>5</v>
      </c>
      <c r="K114" s="4" t="s">
        <v>303</v>
      </c>
      <c r="L114" s="4" t="s">
        <v>311</v>
      </c>
      <c r="M114" s="4" t="s">
        <v>37</v>
      </c>
      <c r="N114" s="4">
        <v>0</v>
      </c>
      <c r="O114" s="4">
        <v>1821.8541399999999</v>
      </c>
      <c r="P114" s="4" t="s">
        <v>38</v>
      </c>
      <c r="Q114" s="4" t="s">
        <v>38</v>
      </c>
      <c r="R114" s="4">
        <v>1.3159999999999999E-3</v>
      </c>
      <c r="S114" s="4">
        <v>2.028E-4</v>
      </c>
      <c r="T114" s="4">
        <v>3.71</v>
      </c>
    </row>
    <row r="115" spans="1:27" hidden="1" outlineLevel="1" collapsed="1" x14ac:dyDescent="0.2">
      <c r="A115" t="s">
        <v>37</v>
      </c>
      <c r="B115" s="4" t="s">
        <v>38</v>
      </c>
      <c r="C115" s="4" t="s">
        <v>312</v>
      </c>
      <c r="D115" s="4" t="s">
        <v>37</v>
      </c>
      <c r="E115" s="4">
        <v>4.1862099999999999E-2</v>
      </c>
      <c r="F115" s="4">
        <v>5.0826200000000004E-3</v>
      </c>
      <c r="G115" s="4">
        <v>1</v>
      </c>
      <c r="H115" s="4">
        <v>1</v>
      </c>
      <c r="I115" s="4">
        <v>1</v>
      </c>
      <c r="J115" s="4">
        <v>4</v>
      </c>
      <c r="K115" s="4" t="s">
        <v>303</v>
      </c>
      <c r="L115" s="4" t="s">
        <v>313</v>
      </c>
      <c r="M115" s="4" t="s">
        <v>37</v>
      </c>
      <c r="N115" s="4">
        <v>0</v>
      </c>
      <c r="O115" s="4">
        <v>1260.6470400000001</v>
      </c>
      <c r="P115" s="4" t="s">
        <v>38</v>
      </c>
      <c r="Q115" s="4" t="s">
        <v>38</v>
      </c>
      <c r="R115" s="4">
        <v>1.3159999999999999E-3</v>
      </c>
      <c r="S115" s="4">
        <v>7.5599999999999999E-3</v>
      </c>
      <c r="T115" s="4">
        <v>2.35</v>
      </c>
    </row>
    <row r="116" spans="1:27" hidden="1" outlineLevel="1" collapsed="1" x14ac:dyDescent="0.2">
      <c r="A116" t="s">
        <v>37</v>
      </c>
      <c r="B116" s="4" t="s">
        <v>38</v>
      </c>
      <c r="C116" s="4" t="s">
        <v>314</v>
      </c>
      <c r="D116" s="4" t="s">
        <v>37</v>
      </c>
      <c r="E116" s="4">
        <v>4.4686499999999997E-2</v>
      </c>
      <c r="F116" s="4">
        <v>5.0826200000000004E-3</v>
      </c>
      <c r="G116" s="4">
        <v>1</v>
      </c>
      <c r="H116" s="4">
        <v>1</v>
      </c>
      <c r="I116" s="4">
        <v>1</v>
      </c>
      <c r="J116" s="4">
        <v>9</v>
      </c>
      <c r="K116" s="4" t="s">
        <v>303</v>
      </c>
      <c r="L116" s="4" t="s">
        <v>315</v>
      </c>
      <c r="M116" s="4" t="s">
        <v>37</v>
      </c>
      <c r="N116" s="4">
        <v>0</v>
      </c>
      <c r="O116" s="4">
        <v>1324.6783399999999</v>
      </c>
      <c r="P116" s="4" t="s">
        <v>38</v>
      </c>
      <c r="Q116" s="4" t="s">
        <v>38</v>
      </c>
      <c r="R116" s="4">
        <v>1.3159999999999999E-3</v>
      </c>
      <c r="S116" s="4">
        <v>8.2760000000000004E-3</v>
      </c>
      <c r="T116" s="4">
        <v>1.91</v>
      </c>
    </row>
    <row r="117" spans="1:27" hidden="1" outlineLevel="1" collapsed="1" x14ac:dyDescent="0.2">
      <c r="A117" t="s">
        <v>37</v>
      </c>
      <c r="B117" s="4" t="s">
        <v>38</v>
      </c>
      <c r="C117" s="4" t="s">
        <v>316</v>
      </c>
      <c r="D117" s="4" t="s">
        <v>37</v>
      </c>
      <c r="E117" s="4">
        <v>9.8051899999999997E-2</v>
      </c>
      <c r="F117" s="4">
        <v>5.0826200000000004E-3</v>
      </c>
      <c r="G117" s="4">
        <v>1</v>
      </c>
      <c r="H117" s="4">
        <v>1</v>
      </c>
      <c r="I117" s="4">
        <v>1</v>
      </c>
      <c r="J117" s="4">
        <v>3</v>
      </c>
      <c r="K117" s="4" t="s">
        <v>303</v>
      </c>
      <c r="L117" s="4" t="s">
        <v>317</v>
      </c>
      <c r="M117" s="4" t="s">
        <v>37</v>
      </c>
      <c r="N117" s="4">
        <v>0</v>
      </c>
      <c r="O117" s="4">
        <v>1563.86285</v>
      </c>
      <c r="P117" s="4" t="s">
        <v>38</v>
      </c>
      <c r="Q117" s="4" t="s">
        <v>38</v>
      </c>
      <c r="R117" s="4">
        <v>1.3159999999999999E-3</v>
      </c>
      <c r="S117" s="4">
        <v>2.5340000000000001E-2</v>
      </c>
      <c r="T117" s="4">
        <v>3.04</v>
      </c>
    </row>
    <row r="118" spans="1:27" hidden="1" outlineLevel="1" collapsed="1" x14ac:dyDescent="0.2">
      <c r="A118" t="s">
        <v>37</v>
      </c>
      <c r="B118" s="4" t="s">
        <v>38</v>
      </c>
      <c r="C118" s="4" t="s">
        <v>318</v>
      </c>
      <c r="D118" s="4" t="s">
        <v>37</v>
      </c>
      <c r="E118" s="4">
        <v>4.1725499999999999E-2</v>
      </c>
      <c r="F118" s="4">
        <v>5.0826200000000004E-3</v>
      </c>
      <c r="G118" s="4">
        <v>1</v>
      </c>
      <c r="H118" s="4">
        <v>1</v>
      </c>
      <c r="I118" s="4">
        <v>1</v>
      </c>
      <c r="J118" s="4">
        <v>2</v>
      </c>
      <c r="K118" s="4" t="s">
        <v>303</v>
      </c>
      <c r="L118" s="4" t="s">
        <v>319</v>
      </c>
      <c r="M118" s="4" t="s">
        <v>37</v>
      </c>
      <c r="N118" s="4">
        <v>0</v>
      </c>
      <c r="O118" s="4">
        <v>2110.0491499999998</v>
      </c>
      <c r="P118" s="4" t="s">
        <v>38</v>
      </c>
      <c r="Q118" s="4" t="s">
        <v>38</v>
      </c>
      <c r="R118" s="4">
        <v>1.3159999999999999E-3</v>
      </c>
      <c r="S118" s="4">
        <v>7.5040000000000003E-3</v>
      </c>
      <c r="T118" s="4">
        <v>4.22</v>
      </c>
    </row>
    <row r="119" spans="1:27" hidden="1" outlineLevel="1" collapsed="1" x14ac:dyDescent="0.2">
      <c r="A119" t="s">
        <v>37</v>
      </c>
      <c r="B119" s="4" t="s">
        <v>38</v>
      </c>
      <c r="C119" s="4" t="s">
        <v>320</v>
      </c>
      <c r="D119" s="4" t="s">
        <v>37</v>
      </c>
      <c r="E119" s="4">
        <v>6.0093199999999999E-2</v>
      </c>
      <c r="F119" s="4">
        <v>5.0826200000000004E-3</v>
      </c>
      <c r="G119" s="4">
        <v>1</v>
      </c>
      <c r="H119" s="4">
        <v>1</v>
      </c>
      <c r="I119" s="4">
        <v>1</v>
      </c>
      <c r="J119" s="4">
        <v>3</v>
      </c>
      <c r="K119" s="4" t="s">
        <v>303</v>
      </c>
      <c r="L119" s="4" t="s">
        <v>321</v>
      </c>
      <c r="M119" s="4" t="s">
        <v>37</v>
      </c>
      <c r="N119" s="4">
        <v>1</v>
      </c>
      <c r="O119" s="4">
        <v>1014.52547</v>
      </c>
      <c r="P119" s="4" t="s">
        <v>38</v>
      </c>
      <c r="Q119" s="4" t="s">
        <v>38</v>
      </c>
      <c r="R119" s="4">
        <v>1.3159999999999999E-3</v>
      </c>
      <c r="S119" s="4">
        <v>1.257E-2</v>
      </c>
      <c r="T119" s="4">
        <v>2.41</v>
      </c>
    </row>
    <row r="120" spans="1:27" hidden="1" outlineLevel="1" collapsed="1" x14ac:dyDescent="0.2">
      <c r="A120" t="s">
        <v>37</v>
      </c>
      <c r="B120" s="4" t="s">
        <v>38</v>
      </c>
      <c r="C120" s="4" t="s">
        <v>322</v>
      </c>
      <c r="D120" s="4" t="s">
        <v>37</v>
      </c>
      <c r="E120" s="4">
        <v>2.4136399999999999E-2</v>
      </c>
      <c r="F120" s="4">
        <v>5.0826200000000004E-3</v>
      </c>
      <c r="G120" s="4">
        <v>1</v>
      </c>
      <c r="H120" s="4">
        <v>1</v>
      </c>
      <c r="I120" s="4">
        <v>1</v>
      </c>
      <c r="J120" s="4">
        <v>3</v>
      </c>
      <c r="K120" s="4" t="s">
        <v>303</v>
      </c>
      <c r="L120" s="4" t="s">
        <v>323</v>
      </c>
      <c r="M120" s="4" t="s">
        <v>37</v>
      </c>
      <c r="N120" s="4">
        <v>0</v>
      </c>
      <c r="O120" s="4">
        <v>1245.6109899999999</v>
      </c>
      <c r="P120" s="4" t="s">
        <v>38</v>
      </c>
      <c r="Q120" s="4" t="s">
        <v>38</v>
      </c>
      <c r="R120" s="4">
        <v>1.3159999999999999E-3</v>
      </c>
      <c r="S120" s="4">
        <v>3.4689999999999999E-3</v>
      </c>
      <c r="T120" s="4">
        <v>2.38</v>
      </c>
    </row>
    <row r="121" spans="1:27" collapsed="1" x14ac:dyDescent="0.2">
      <c r="A121" s="3" t="s">
        <v>27</v>
      </c>
      <c r="B121" s="3" t="s">
        <v>324</v>
      </c>
      <c r="C121" s="3" t="s">
        <v>325</v>
      </c>
      <c r="D121" s="3">
        <v>7</v>
      </c>
      <c r="E121" s="3">
        <v>4</v>
      </c>
      <c r="F121" s="3">
        <v>4</v>
      </c>
      <c r="G121" s="3">
        <v>17</v>
      </c>
      <c r="H121" s="3">
        <v>4</v>
      </c>
      <c r="I121" s="3">
        <v>644</v>
      </c>
      <c r="J121" s="3">
        <v>66</v>
      </c>
      <c r="K121" s="3">
        <v>8.1199999999999992</v>
      </c>
      <c r="L121" s="3">
        <v>45.41</v>
      </c>
      <c r="M121" s="3">
        <v>4</v>
      </c>
      <c r="N121" s="3" t="s">
        <v>37</v>
      </c>
      <c r="O121" s="3" t="s">
        <v>37</v>
      </c>
      <c r="P121" s="3" t="s">
        <v>37</v>
      </c>
      <c r="Q121" s="3" t="s">
        <v>37</v>
      </c>
      <c r="R121" s="3" t="s">
        <v>37</v>
      </c>
      <c r="S121" s="3" t="s">
        <v>37</v>
      </c>
      <c r="T121" s="3" t="s">
        <v>324</v>
      </c>
      <c r="U121" s="3" t="s">
        <v>37</v>
      </c>
      <c r="V121" s="3" t="s">
        <v>37</v>
      </c>
      <c r="W121" s="3" t="s">
        <v>37</v>
      </c>
      <c r="X121" s="3">
        <v>0</v>
      </c>
      <c r="Y121" s="3" t="s">
        <v>38</v>
      </c>
      <c r="Z121" s="3">
        <v>1</v>
      </c>
      <c r="AA121" s="3" t="s">
        <v>37</v>
      </c>
    </row>
    <row r="122" spans="1:27" hidden="1" outlineLevel="1" collapsed="1" x14ac:dyDescent="0.2">
      <c r="A122" t="s">
        <v>37</v>
      </c>
      <c r="B122" s="2" t="s">
        <v>40</v>
      </c>
      <c r="C122" s="2" t="s">
        <v>41</v>
      </c>
      <c r="D122" s="2" t="s">
        <v>26</v>
      </c>
      <c r="E122" s="2" t="s">
        <v>42</v>
      </c>
      <c r="F122" s="2" t="s">
        <v>43</v>
      </c>
      <c r="G122" s="2" t="s">
        <v>25</v>
      </c>
      <c r="H122" s="2" t="s">
        <v>44</v>
      </c>
      <c r="I122" s="2" t="s">
        <v>5</v>
      </c>
      <c r="J122" s="2" t="s">
        <v>6</v>
      </c>
      <c r="K122" s="2" t="s">
        <v>45</v>
      </c>
      <c r="L122" s="2" t="s">
        <v>46</v>
      </c>
      <c r="M122" s="2" t="s">
        <v>47</v>
      </c>
      <c r="N122" s="2" t="s">
        <v>48</v>
      </c>
      <c r="O122" s="2" t="s">
        <v>49</v>
      </c>
      <c r="P122" s="2" t="s">
        <v>24</v>
      </c>
      <c r="Q122" s="2" t="s">
        <v>50</v>
      </c>
      <c r="R122" s="2" t="s">
        <v>51</v>
      </c>
      <c r="S122" s="2" t="s">
        <v>52</v>
      </c>
      <c r="T122" s="2" t="s">
        <v>53</v>
      </c>
    </row>
    <row r="123" spans="1:27" hidden="1" outlineLevel="1" collapsed="1" x14ac:dyDescent="0.2">
      <c r="A123" t="s">
        <v>37</v>
      </c>
      <c r="B123" s="4" t="s">
        <v>38</v>
      </c>
      <c r="C123" s="4" t="s">
        <v>326</v>
      </c>
      <c r="D123" s="4" t="s">
        <v>37</v>
      </c>
      <c r="E123" s="4">
        <v>6.1353800000000002E-3</v>
      </c>
      <c r="F123" s="4">
        <v>5.0826200000000004E-3</v>
      </c>
      <c r="G123" s="4">
        <v>1</v>
      </c>
      <c r="H123" s="4">
        <v>7</v>
      </c>
      <c r="I123" s="4">
        <v>1</v>
      </c>
      <c r="J123" s="4">
        <v>6</v>
      </c>
      <c r="K123" s="4" t="s">
        <v>324</v>
      </c>
      <c r="L123" s="4" t="s">
        <v>327</v>
      </c>
      <c r="M123" s="4" t="s">
        <v>37</v>
      </c>
      <c r="N123" s="4">
        <v>0</v>
      </c>
      <c r="O123" s="4">
        <v>1277.7099800000001</v>
      </c>
      <c r="P123" s="4" t="s">
        <v>38</v>
      </c>
      <c r="Q123" s="4" t="s">
        <v>38</v>
      </c>
      <c r="R123" s="4">
        <v>1.3159999999999999E-3</v>
      </c>
      <c r="S123" s="4">
        <v>5.0810000000000004E-4</v>
      </c>
      <c r="T123" s="4">
        <v>3.56</v>
      </c>
    </row>
    <row r="124" spans="1:27" hidden="1" outlineLevel="1" collapsed="1" x14ac:dyDescent="0.2">
      <c r="A124" t="s">
        <v>37</v>
      </c>
      <c r="B124" s="4" t="s">
        <v>38</v>
      </c>
      <c r="C124" s="4" t="s">
        <v>328</v>
      </c>
      <c r="D124" s="4" t="s">
        <v>329</v>
      </c>
      <c r="E124" s="4">
        <v>7.3219300000000001E-2</v>
      </c>
      <c r="F124" s="4">
        <v>5.0826200000000004E-3</v>
      </c>
      <c r="G124" s="4">
        <v>1</v>
      </c>
      <c r="H124" s="4">
        <v>2</v>
      </c>
      <c r="I124" s="4">
        <v>1</v>
      </c>
      <c r="J124" s="4">
        <v>2</v>
      </c>
      <c r="K124" s="4" t="s">
        <v>324</v>
      </c>
      <c r="L124" s="4" t="s">
        <v>330</v>
      </c>
      <c r="M124" s="4" t="s">
        <v>37</v>
      </c>
      <c r="N124" s="4">
        <v>0</v>
      </c>
      <c r="O124" s="4">
        <v>1332.5194799999999</v>
      </c>
      <c r="P124" s="4" t="s">
        <v>38</v>
      </c>
      <c r="Q124" s="4" t="s">
        <v>38</v>
      </c>
      <c r="R124" s="4">
        <v>1.3159999999999999E-3</v>
      </c>
      <c r="S124" s="4">
        <v>1.6719999999999999E-2</v>
      </c>
      <c r="T124" s="4">
        <v>2.0099999999999998</v>
      </c>
    </row>
    <row r="125" spans="1:27" hidden="1" outlineLevel="1" collapsed="1" x14ac:dyDescent="0.2">
      <c r="A125" t="s">
        <v>37</v>
      </c>
      <c r="B125" s="4" t="s">
        <v>38</v>
      </c>
      <c r="C125" s="4" t="s">
        <v>331</v>
      </c>
      <c r="D125" s="4" t="s">
        <v>37</v>
      </c>
      <c r="E125" s="4">
        <v>1.0206399999999999E-2</v>
      </c>
      <c r="F125" s="4">
        <v>5.0826200000000004E-3</v>
      </c>
      <c r="G125" s="4">
        <v>1</v>
      </c>
      <c r="H125" s="4">
        <v>2</v>
      </c>
      <c r="I125" s="4">
        <v>1</v>
      </c>
      <c r="J125" s="4">
        <v>10</v>
      </c>
      <c r="K125" s="4" t="s">
        <v>324</v>
      </c>
      <c r="L125" s="4" t="s">
        <v>332</v>
      </c>
      <c r="M125" s="4" t="s">
        <v>37</v>
      </c>
      <c r="N125" s="4">
        <v>0</v>
      </c>
      <c r="O125" s="4">
        <v>1302.7151200000001</v>
      </c>
      <c r="P125" s="4" t="s">
        <v>38</v>
      </c>
      <c r="Q125" s="4" t="s">
        <v>38</v>
      </c>
      <c r="R125" s="4">
        <v>1.3159999999999999E-3</v>
      </c>
      <c r="S125" s="4">
        <v>1.0369999999999999E-3</v>
      </c>
      <c r="T125" s="4">
        <v>2.91</v>
      </c>
    </row>
    <row r="126" spans="1:27" hidden="1" outlineLevel="1" collapsed="1" x14ac:dyDescent="0.2">
      <c r="A126" t="s">
        <v>37</v>
      </c>
      <c r="B126" s="4" t="s">
        <v>38</v>
      </c>
      <c r="C126" s="4" t="s">
        <v>333</v>
      </c>
      <c r="D126" s="4" t="s">
        <v>37</v>
      </c>
      <c r="E126" s="4">
        <v>0.14168500000000001</v>
      </c>
      <c r="F126" s="4">
        <v>5.0826200000000004E-3</v>
      </c>
      <c r="G126" s="4">
        <v>1</v>
      </c>
      <c r="H126" s="4">
        <v>2</v>
      </c>
      <c r="I126" s="4">
        <v>1</v>
      </c>
      <c r="J126" s="4">
        <v>2</v>
      </c>
      <c r="K126" s="4" t="s">
        <v>324</v>
      </c>
      <c r="L126" s="4" t="s">
        <v>334</v>
      </c>
      <c r="M126" s="4" t="s">
        <v>37</v>
      </c>
      <c r="N126" s="4">
        <v>0</v>
      </c>
      <c r="O126" s="4">
        <v>1179.60043</v>
      </c>
      <c r="P126" s="4" t="s">
        <v>38</v>
      </c>
      <c r="Q126" s="4" t="s">
        <v>38</v>
      </c>
      <c r="R126" s="4">
        <v>1.3159999999999999E-3</v>
      </c>
      <c r="S126" s="4">
        <v>4.333E-2</v>
      </c>
      <c r="T126" s="4">
        <v>2.11</v>
      </c>
    </row>
    <row r="127" spans="1:27" collapsed="1" x14ac:dyDescent="0.2">
      <c r="A127" s="3" t="s">
        <v>27</v>
      </c>
      <c r="B127" s="3" t="s">
        <v>335</v>
      </c>
      <c r="C127" s="3" t="s">
        <v>336</v>
      </c>
      <c r="D127" s="3">
        <v>9</v>
      </c>
      <c r="E127" s="3">
        <v>6</v>
      </c>
      <c r="F127" s="3">
        <v>6</v>
      </c>
      <c r="G127" s="3">
        <v>17</v>
      </c>
      <c r="H127" s="3">
        <v>6</v>
      </c>
      <c r="I127" s="3">
        <v>917</v>
      </c>
      <c r="J127" s="3">
        <v>104.8</v>
      </c>
      <c r="K127" s="3">
        <v>5.25</v>
      </c>
      <c r="L127" s="3">
        <v>44.84</v>
      </c>
      <c r="M127" s="3">
        <v>6</v>
      </c>
      <c r="N127" s="3" t="s">
        <v>305</v>
      </c>
      <c r="O127" s="3" t="s">
        <v>337</v>
      </c>
      <c r="P127" s="3" t="s">
        <v>338</v>
      </c>
      <c r="Q127" s="3" t="s">
        <v>339</v>
      </c>
      <c r="R127" s="3" t="s">
        <v>340</v>
      </c>
      <c r="S127" s="3" t="s">
        <v>341</v>
      </c>
      <c r="T127" s="3" t="s">
        <v>342</v>
      </c>
      <c r="U127" s="3" t="s">
        <v>37</v>
      </c>
      <c r="V127" s="3" t="s">
        <v>37</v>
      </c>
      <c r="W127" s="3" t="s">
        <v>37</v>
      </c>
      <c r="X127" s="3">
        <v>0</v>
      </c>
      <c r="Y127" s="3" t="s">
        <v>38</v>
      </c>
      <c r="Z127" s="3">
        <v>1</v>
      </c>
      <c r="AA127" s="3" t="s">
        <v>37</v>
      </c>
    </row>
    <row r="128" spans="1:27" hidden="1" outlineLevel="1" collapsed="1" x14ac:dyDescent="0.2">
      <c r="A128" t="s">
        <v>37</v>
      </c>
      <c r="B128" s="2" t="s">
        <v>40</v>
      </c>
      <c r="C128" s="2" t="s">
        <v>41</v>
      </c>
      <c r="D128" s="2" t="s">
        <v>26</v>
      </c>
      <c r="E128" s="2" t="s">
        <v>42</v>
      </c>
      <c r="F128" s="2" t="s">
        <v>43</v>
      </c>
      <c r="G128" s="2" t="s">
        <v>25</v>
      </c>
      <c r="H128" s="2" t="s">
        <v>44</v>
      </c>
      <c r="I128" s="2" t="s">
        <v>5</v>
      </c>
      <c r="J128" s="2" t="s">
        <v>6</v>
      </c>
      <c r="K128" s="2" t="s">
        <v>45</v>
      </c>
      <c r="L128" s="2" t="s">
        <v>46</v>
      </c>
      <c r="M128" s="2" t="s">
        <v>47</v>
      </c>
      <c r="N128" s="2" t="s">
        <v>48</v>
      </c>
      <c r="O128" s="2" t="s">
        <v>49</v>
      </c>
      <c r="P128" s="2" t="s">
        <v>24</v>
      </c>
      <c r="Q128" s="2" t="s">
        <v>50</v>
      </c>
      <c r="R128" s="2" t="s">
        <v>51</v>
      </c>
      <c r="S128" s="2" t="s">
        <v>52</v>
      </c>
      <c r="T128" s="2" t="s">
        <v>53</v>
      </c>
    </row>
    <row r="129" spans="1:27" hidden="1" outlineLevel="1" collapsed="1" x14ac:dyDescent="0.2">
      <c r="A129" t="s">
        <v>37</v>
      </c>
      <c r="B129" s="4" t="s">
        <v>38</v>
      </c>
      <c r="C129" s="4" t="s">
        <v>343</v>
      </c>
      <c r="D129" s="4" t="s">
        <v>37</v>
      </c>
      <c r="E129" s="4">
        <v>1.4341599999999999E-2</v>
      </c>
      <c r="F129" s="4">
        <v>5.0826200000000004E-3</v>
      </c>
      <c r="G129" s="4">
        <v>1</v>
      </c>
      <c r="H129" s="4">
        <v>1</v>
      </c>
      <c r="I129" s="4">
        <v>1</v>
      </c>
      <c r="J129" s="4">
        <v>3</v>
      </c>
      <c r="K129" s="4" t="s">
        <v>335</v>
      </c>
      <c r="L129" s="4" t="s">
        <v>344</v>
      </c>
      <c r="M129" s="4" t="s">
        <v>37</v>
      </c>
      <c r="N129" s="4">
        <v>0</v>
      </c>
      <c r="O129" s="4">
        <v>1567.80025</v>
      </c>
      <c r="P129" s="4" t="s">
        <v>38</v>
      </c>
      <c r="Q129" s="4" t="s">
        <v>38</v>
      </c>
      <c r="R129" s="4">
        <v>1.3159999999999999E-3</v>
      </c>
      <c r="S129" s="4">
        <v>1.6639999999999999E-3</v>
      </c>
      <c r="T129" s="4">
        <v>3.76</v>
      </c>
    </row>
    <row r="130" spans="1:27" hidden="1" outlineLevel="1" collapsed="1" x14ac:dyDescent="0.2">
      <c r="A130" t="s">
        <v>37</v>
      </c>
      <c r="B130" s="4" t="s">
        <v>38</v>
      </c>
      <c r="C130" s="4" t="s">
        <v>345</v>
      </c>
      <c r="D130" s="4" t="s">
        <v>346</v>
      </c>
      <c r="E130" s="4">
        <v>0.13026499999999999</v>
      </c>
      <c r="F130" s="4">
        <v>5.0826200000000004E-3</v>
      </c>
      <c r="G130" s="4">
        <v>1</v>
      </c>
      <c r="H130" s="4">
        <v>1</v>
      </c>
      <c r="I130" s="4">
        <v>1</v>
      </c>
      <c r="J130" s="4">
        <v>3</v>
      </c>
      <c r="K130" s="4" t="s">
        <v>335</v>
      </c>
      <c r="L130" s="4" t="s">
        <v>347</v>
      </c>
      <c r="M130" s="4" t="s">
        <v>37</v>
      </c>
      <c r="N130" s="4">
        <v>0</v>
      </c>
      <c r="O130" s="4">
        <v>1250.6409100000001</v>
      </c>
      <c r="P130" s="4" t="s">
        <v>38</v>
      </c>
      <c r="Q130" s="4" t="s">
        <v>38</v>
      </c>
      <c r="R130" s="4">
        <v>1.3159999999999999E-3</v>
      </c>
      <c r="S130" s="4">
        <v>3.8399999999999997E-2</v>
      </c>
      <c r="T130" s="4">
        <v>2.93</v>
      </c>
    </row>
    <row r="131" spans="1:27" hidden="1" outlineLevel="1" collapsed="1" x14ac:dyDescent="0.2">
      <c r="A131" t="s">
        <v>37</v>
      </c>
      <c r="B131" s="4" t="s">
        <v>38</v>
      </c>
      <c r="C131" s="4" t="s">
        <v>348</v>
      </c>
      <c r="D131" s="4" t="s">
        <v>37</v>
      </c>
      <c r="E131" s="4">
        <v>0.10957699999999999</v>
      </c>
      <c r="F131" s="4">
        <v>5.0826200000000004E-3</v>
      </c>
      <c r="G131" s="4">
        <v>1</v>
      </c>
      <c r="H131" s="4">
        <v>1</v>
      </c>
      <c r="I131" s="4">
        <v>1</v>
      </c>
      <c r="J131" s="4">
        <v>4</v>
      </c>
      <c r="K131" s="4" t="s">
        <v>335</v>
      </c>
      <c r="L131" s="4" t="s">
        <v>349</v>
      </c>
      <c r="M131" s="4" t="s">
        <v>37</v>
      </c>
      <c r="N131" s="4">
        <v>0</v>
      </c>
      <c r="O131" s="4">
        <v>1048.6037200000001</v>
      </c>
      <c r="P131" s="4" t="s">
        <v>38</v>
      </c>
      <c r="Q131" s="4" t="s">
        <v>38</v>
      </c>
      <c r="R131" s="4">
        <v>1.3159999999999999E-3</v>
      </c>
      <c r="S131" s="4">
        <v>2.98E-2</v>
      </c>
      <c r="T131" s="4">
        <v>2.66</v>
      </c>
    </row>
    <row r="132" spans="1:27" hidden="1" outlineLevel="1" collapsed="1" x14ac:dyDescent="0.2">
      <c r="A132" t="s">
        <v>37</v>
      </c>
      <c r="B132" s="4" t="s">
        <v>38</v>
      </c>
      <c r="C132" s="4" t="s">
        <v>350</v>
      </c>
      <c r="D132" s="4" t="s">
        <v>37</v>
      </c>
      <c r="E132" s="4">
        <v>0.231101</v>
      </c>
      <c r="F132" s="4">
        <v>5.0826200000000004E-3</v>
      </c>
      <c r="G132" s="4">
        <v>1</v>
      </c>
      <c r="H132" s="4">
        <v>1</v>
      </c>
      <c r="I132" s="4">
        <v>1</v>
      </c>
      <c r="J132" s="4">
        <v>2</v>
      </c>
      <c r="K132" s="4" t="s">
        <v>335</v>
      </c>
      <c r="L132" s="4" t="s">
        <v>351</v>
      </c>
      <c r="M132" s="4" t="s">
        <v>37</v>
      </c>
      <c r="N132" s="4">
        <v>0</v>
      </c>
      <c r="O132" s="4">
        <v>1988.9771000000001</v>
      </c>
      <c r="P132" s="4" t="s">
        <v>38</v>
      </c>
      <c r="Q132" s="4" t="s">
        <v>38</v>
      </c>
      <c r="R132" s="4">
        <v>1.3159999999999999E-3</v>
      </c>
      <c r="S132" s="4">
        <v>9.0190000000000006E-2</v>
      </c>
      <c r="T132" s="4">
        <v>1.57</v>
      </c>
    </row>
    <row r="133" spans="1:27" hidden="1" outlineLevel="1" collapsed="1" x14ac:dyDescent="0.2">
      <c r="A133" t="s">
        <v>37</v>
      </c>
      <c r="B133" s="4" t="s">
        <v>38</v>
      </c>
      <c r="C133" s="4" t="s">
        <v>352</v>
      </c>
      <c r="D133" s="4" t="s">
        <v>37</v>
      </c>
      <c r="E133" s="4">
        <v>4.6470400000000002E-2</v>
      </c>
      <c r="F133" s="4">
        <v>5.0826200000000004E-3</v>
      </c>
      <c r="G133" s="4">
        <v>1</v>
      </c>
      <c r="H133" s="4">
        <v>1</v>
      </c>
      <c r="I133" s="4">
        <v>1</v>
      </c>
      <c r="J133" s="4">
        <v>3</v>
      </c>
      <c r="K133" s="4" t="s">
        <v>335</v>
      </c>
      <c r="L133" s="4" t="s">
        <v>353</v>
      </c>
      <c r="M133" s="4" t="s">
        <v>37</v>
      </c>
      <c r="N133" s="4">
        <v>0</v>
      </c>
      <c r="O133" s="4">
        <v>1678.8534099999999</v>
      </c>
      <c r="P133" s="4" t="s">
        <v>38</v>
      </c>
      <c r="Q133" s="4" t="s">
        <v>38</v>
      </c>
      <c r="R133" s="4">
        <v>1.3159999999999999E-3</v>
      </c>
      <c r="S133" s="4">
        <v>8.7510000000000001E-3</v>
      </c>
      <c r="T133" s="4">
        <v>2.5</v>
      </c>
    </row>
    <row r="134" spans="1:27" hidden="1" outlineLevel="1" collapsed="1" x14ac:dyDescent="0.2">
      <c r="A134" t="s">
        <v>37</v>
      </c>
      <c r="B134" s="4" t="s">
        <v>38</v>
      </c>
      <c r="C134" s="4" t="s">
        <v>354</v>
      </c>
      <c r="D134" s="4" t="s">
        <v>37</v>
      </c>
      <c r="E134" s="4">
        <v>9.2431100000000006E-3</v>
      </c>
      <c r="F134" s="4">
        <v>5.0826200000000004E-3</v>
      </c>
      <c r="G134" s="4">
        <v>1</v>
      </c>
      <c r="H134" s="4">
        <v>1</v>
      </c>
      <c r="I134" s="4">
        <v>1</v>
      </c>
      <c r="J134" s="4">
        <v>2</v>
      </c>
      <c r="K134" s="4" t="s">
        <v>335</v>
      </c>
      <c r="L134" s="4" t="s">
        <v>355</v>
      </c>
      <c r="M134" s="4" t="s">
        <v>37</v>
      </c>
      <c r="N134" s="4">
        <v>0</v>
      </c>
      <c r="O134" s="4">
        <v>1824.9027599999999</v>
      </c>
      <c r="P134" s="4" t="s">
        <v>38</v>
      </c>
      <c r="Q134" s="4" t="s">
        <v>38</v>
      </c>
      <c r="R134" s="4">
        <v>1.3159999999999999E-3</v>
      </c>
      <c r="S134" s="4">
        <v>8.9950000000000002E-4</v>
      </c>
      <c r="T134" s="4">
        <v>3.9</v>
      </c>
    </row>
    <row r="135" spans="1:27" collapsed="1" x14ac:dyDescent="0.2">
      <c r="A135" s="3" t="s">
        <v>27</v>
      </c>
      <c r="B135" s="3" t="s">
        <v>356</v>
      </c>
      <c r="C135" s="3" t="s">
        <v>357</v>
      </c>
      <c r="D135" s="3">
        <v>22</v>
      </c>
      <c r="E135" s="3">
        <v>5</v>
      </c>
      <c r="F135" s="3">
        <v>5</v>
      </c>
      <c r="G135" s="3">
        <v>15</v>
      </c>
      <c r="H135" s="3">
        <v>5</v>
      </c>
      <c r="I135" s="3">
        <v>437</v>
      </c>
      <c r="J135" s="3">
        <v>46.9</v>
      </c>
      <c r="K135" s="3">
        <v>6</v>
      </c>
      <c r="L135" s="3">
        <v>43.5</v>
      </c>
      <c r="M135" s="3">
        <v>5</v>
      </c>
      <c r="N135" s="3" t="s">
        <v>358</v>
      </c>
      <c r="O135" s="3" t="s">
        <v>359</v>
      </c>
      <c r="P135" s="3" t="s">
        <v>32</v>
      </c>
      <c r="Q135" s="3" t="s">
        <v>360</v>
      </c>
      <c r="R135" s="3" t="s">
        <v>361</v>
      </c>
      <c r="S135" s="3" t="s">
        <v>362</v>
      </c>
      <c r="T135" s="3" t="s">
        <v>363</v>
      </c>
      <c r="U135" s="3" t="s">
        <v>364</v>
      </c>
      <c r="V135" s="3" t="s">
        <v>37</v>
      </c>
      <c r="W135" s="3" t="s">
        <v>37</v>
      </c>
      <c r="X135" s="3">
        <v>2</v>
      </c>
      <c r="Y135" s="3" t="s">
        <v>38</v>
      </c>
      <c r="Z135" s="3">
        <v>1</v>
      </c>
      <c r="AA135" s="3" t="s">
        <v>37</v>
      </c>
    </row>
    <row r="136" spans="1:27" hidden="1" outlineLevel="1" collapsed="1" x14ac:dyDescent="0.2">
      <c r="A136" t="s">
        <v>37</v>
      </c>
      <c r="B136" s="2" t="s">
        <v>40</v>
      </c>
      <c r="C136" s="2" t="s">
        <v>41</v>
      </c>
      <c r="D136" s="2" t="s">
        <v>26</v>
      </c>
      <c r="E136" s="2" t="s">
        <v>42</v>
      </c>
      <c r="F136" s="2" t="s">
        <v>43</v>
      </c>
      <c r="G136" s="2" t="s">
        <v>25</v>
      </c>
      <c r="H136" s="2" t="s">
        <v>44</v>
      </c>
      <c r="I136" s="2" t="s">
        <v>5</v>
      </c>
      <c r="J136" s="2" t="s">
        <v>6</v>
      </c>
      <c r="K136" s="2" t="s">
        <v>45</v>
      </c>
      <c r="L136" s="2" t="s">
        <v>46</v>
      </c>
      <c r="M136" s="2" t="s">
        <v>47</v>
      </c>
      <c r="N136" s="2" t="s">
        <v>48</v>
      </c>
      <c r="O136" s="2" t="s">
        <v>49</v>
      </c>
      <c r="P136" s="2" t="s">
        <v>24</v>
      </c>
      <c r="Q136" s="2" t="s">
        <v>50</v>
      </c>
      <c r="R136" s="2" t="s">
        <v>51</v>
      </c>
      <c r="S136" s="2" t="s">
        <v>52</v>
      </c>
      <c r="T136" s="2" t="s">
        <v>53</v>
      </c>
    </row>
    <row r="137" spans="1:27" hidden="1" outlineLevel="1" collapsed="1" x14ac:dyDescent="0.2">
      <c r="A137" t="s">
        <v>37</v>
      </c>
      <c r="B137" s="4" t="s">
        <v>38</v>
      </c>
      <c r="C137" s="4" t="s">
        <v>365</v>
      </c>
      <c r="D137" s="4" t="s">
        <v>37</v>
      </c>
      <c r="E137" s="4">
        <v>3.5898800000000002E-2</v>
      </c>
      <c r="F137" s="4">
        <v>5.0826200000000004E-3</v>
      </c>
      <c r="G137" s="4">
        <v>1</v>
      </c>
      <c r="H137" s="4">
        <v>2</v>
      </c>
      <c r="I137" s="4">
        <v>1</v>
      </c>
      <c r="J137" s="4">
        <v>2</v>
      </c>
      <c r="K137" s="4" t="s">
        <v>356</v>
      </c>
      <c r="L137" s="4" t="s">
        <v>366</v>
      </c>
      <c r="M137" s="4" t="s">
        <v>37</v>
      </c>
      <c r="N137" s="4">
        <v>0</v>
      </c>
      <c r="O137" s="4">
        <v>1578.80098</v>
      </c>
      <c r="P137" s="4" t="s">
        <v>38</v>
      </c>
      <c r="Q137" s="4" t="s">
        <v>38</v>
      </c>
      <c r="R137" s="4">
        <v>1.3159999999999999E-3</v>
      </c>
      <c r="S137" s="4">
        <v>6.0829999999999999E-3</v>
      </c>
      <c r="T137" s="4">
        <v>3.05</v>
      </c>
    </row>
    <row r="138" spans="1:27" hidden="1" outlineLevel="1" collapsed="1" x14ac:dyDescent="0.2">
      <c r="A138" t="s">
        <v>37</v>
      </c>
      <c r="B138" s="4" t="s">
        <v>38</v>
      </c>
      <c r="C138" s="4" t="s">
        <v>367</v>
      </c>
      <c r="D138" s="4" t="s">
        <v>368</v>
      </c>
      <c r="E138" s="4">
        <v>2.7799000000000001E-2</v>
      </c>
      <c r="F138" s="4">
        <v>5.0826200000000004E-3</v>
      </c>
      <c r="G138" s="4">
        <v>1</v>
      </c>
      <c r="H138" s="4">
        <v>1</v>
      </c>
      <c r="I138" s="4">
        <v>1</v>
      </c>
      <c r="J138" s="4">
        <v>6</v>
      </c>
      <c r="K138" s="4" t="s">
        <v>356</v>
      </c>
      <c r="L138" s="4" t="s">
        <v>369</v>
      </c>
      <c r="M138" s="4" t="s">
        <v>37</v>
      </c>
      <c r="N138" s="4">
        <v>0</v>
      </c>
      <c r="O138" s="4">
        <v>1430.7784099999999</v>
      </c>
      <c r="P138" s="4" t="s">
        <v>38</v>
      </c>
      <c r="Q138" s="4" t="s">
        <v>38</v>
      </c>
      <c r="R138" s="4">
        <v>1.3159999999999999E-3</v>
      </c>
      <c r="S138" s="4">
        <v>4.2399999999999998E-3</v>
      </c>
      <c r="T138" s="4">
        <v>3.39</v>
      </c>
    </row>
    <row r="139" spans="1:27" hidden="1" outlineLevel="1" collapsed="1" x14ac:dyDescent="0.2">
      <c r="A139" t="s">
        <v>37</v>
      </c>
      <c r="B139" s="4" t="s">
        <v>38</v>
      </c>
      <c r="C139" s="4" t="s">
        <v>370</v>
      </c>
      <c r="D139" s="4" t="s">
        <v>37</v>
      </c>
      <c r="E139" s="4">
        <v>3.4178399999999998E-2</v>
      </c>
      <c r="F139" s="4">
        <v>5.0826200000000004E-3</v>
      </c>
      <c r="G139" s="4">
        <v>1</v>
      </c>
      <c r="H139" s="4">
        <v>2</v>
      </c>
      <c r="I139" s="4">
        <v>1</v>
      </c>
      <c r="J139" s="4">
        <v>5</v>
      </c>
      <c r="K139" s="4" t="s">
        <v>356</v>
      </c>
      <c r="L139" s="4" t="s">
        <v>371</v>
      </c>
      <c r="M139" s="4" t="s">
        <v>37</v>
      </c>
      <c r="N139" s="4">
        <v>0</v>
      </c>
      <c r="O139" s="4">
        <v>1821.9228800000001</v>
      </c>
      <c r="P139" s="4" t="s">
        <v>38</v>
      </c>
      <c r="Q139" s="4" t="s">
        <v>38</v>
      </c>
      <c r="R139" s="4">
        <v>1.3159999999999999E-3</v>
      </c>
      <c r="S139" s="4">
        <v>5.6569999999999997E-3</v>
      </c>
      <c r="T139" s="4">
        <v>3.05</v>
      </c>
    </row>
    <row r="140" spans="1:27" hidden="1" outlineLevel="1" collapsed="1" x14ac:dyDescent="0.2">
      <c r="A140" t="s">
        <v>37</v>
      </c>
      <c r="B140" s="4" t="s">
        <v>38</v>
      </c>
      <c r="C140" s="4" t="s">
        <v>372</v>
      </c>
      <c r="D140" s="4" t="s">
        <v>37</v>
      </c>
      <c r="E140" s="4">
        <v>1.5472400000000001E-2</v>
      </c>
      <c r="F140" s="4">
        <v>5.0826200000000004E-3</v>
      </c>
      <c r="G140" s="4">
        <v>1</v>
      </c>
      <c r="H140" s="4">
        <v>1</v>
      </c>
      <c r="I140" s="4">
        <v>1</v>
      </c>
      <c r="J140" s="4">
        <v>2</v>
      </c>
      <c r="K140" s="4" t="s">
        <v>356</v>
      </c>
      <c r="L140" s="4" t="s">
        <v>373</v>
      </c>
      <c r="M140" s="4" t="s">
        <v>37</v>
      </c>
      <c r="N140" s="4">
        <v>0</v>
      </c>
      <c r="O140" s="4">
        <v>1854.99197</v>
      </c>
      <c r="P140" s="4" t="s">
        <v>38</v>
      </c>
      <c r="Q140" s="4" t="s">
        <v>38</v>
      </c>
      <c r="R140" s="4">
        <v>1.3159999999999999E-3</v>
      </c>
      <c r="S140" s="4">
        <v>1.8580000000000001E-3</v>
      </c>
      <c r="T140" s="4">
        <v>3.49</v>
      </c>
    </row>
    <row r="141" spans="1:27" hidden="1" outlineLevel="1" collapsed="1" x14ac:dyDescent="0.2">
      <c r="A141" t="s">
        <v>37</v>
      </c>
      <c r="B141" s="4" t="s">
        <v>38</v>
      </c>
      <c r="C141" s="4" t="s">
        <v>374</v>
      </c>
      <c r="D141" s="4" t="s">
        <v>37</v>
      </c>
      <c r="E141" s="4">
        <v>6.3501299999999997E-2</v>
      </c>
      <c r="F141" s="4">
        <v>5.0826200000000004E-3</v>
      </c>
      <c r="G141" s="4">
        <v>1</v>
      </c>
      <c r="H141" s="4">
        <v>2</v>
      </c>
      <c r="I141" s="4">
        <v>1</v>
      </c>
      <c r="J141" s="4">
        <v>1</v>
      </c>
      <c r="K141" s="4" t="s">
        <v>356</v>
      </c>
      <c r="L141" s="4" t="s">
        <v>375</v>
      </c>
      <c r="M141" s="4" t="s">
        <v>37</v>
      </c>
      <c r="N141" s="4">
        <v>0</v>
      </c>
      <c r="O141" s="4">
        <v>3257.6172099999999</v>
      </c>
      <c r="P141" s="4" t="s">
        <v>38</v>
      </c>
      <c r="Q141" s="4" t="s">
        <v>38</v>
      </c>
      <c r="R141" s="4">
        <v>1.3159999999999999E-3</v>
      </c>
      <c r="S141" s="4">
        <v>1.362E-2</v>
      </c>
      <c r="T141" s="4">
        <v>4.7300000000000004</v>
      </c>
    </row>
    <row r="142" spans="1:27" collapsed="1" x14ac:dyDescent="0.2">
      <c r="A142" s="3" t="s">
        <v>27</v>
      </c>
      <c r="B142" s="3" t="s">
        <v>376</v>
      </c>
      <c r="C142" s="3" t="s">
        <v>377</v>
      </c>
      <c r="D142" s="3">
        <v>13</v>
      </c>
      <c r="E142" s="3">
        <v>4</v>
      </c>
      <c r="F142" s="3">
        <v>4</v>
      </c>
      <c r="G142" s="3">
        <v>14</v>
      </c>
      <c r="H142" s="3">
        <v>4</v>
      </c>
      <c r="I142" s="3">
        <v>457</v>
      </c>
      <c r="J142" s="3">
        <v>50.9</v>
      </c>
      <c r="K142" s="3">
        <v>4.75</v>
      </c>
      <c r="L142" s="3">
        <v>39.79</v>
      </c>
      <c r="M142" s="3">
        <v>4</v>
      </c>
      <c r="N142" s="3" t="s">
        <v>221</v>
      </c>
      <c r="O142" s="3" t="s">
        <v>31</v>
      </c>
      <c r="P142" s="3" t="s">
        <v>121</v>
      </c>
      <c r="Q142" s="3" t="s">
        <v>378</v>
      </c>
      <c r="R142" s="3" t="s">
        <v>379</v>
      </c>
      <c r="S142" s="3" t="s">
        <v>380</v>
      </c>
      <c r="T142" s="3" t="s">
        <v>381</v>
      </c>
      <c r="U142" s="3" t="s">
        <v>382</v>
      </c>
      <c r="V142" s="3" t="s">
        <v>37</v>
      </c>
      <c r="W142" s="3" t="s">
        <v>37</v>
      </c>
      <c r="X142" s="3">
        <v>4</v>
      </c>
      <c r="Y142" s="3" t="s">
        <v>38</v>
      </c>
      <c r="Z142" s="3">
        <v>1</v>
      </c>
      <c r="AA142" s="3" t="s">
        <v>37</v>
      </c>
    </row>
    <row r="143" spans="1:27" hidden="1" outlineLevel="1" collapsed="1" x14ac:dyDescent="0.2">
      <c r="A143" t="s">
        <v>37</v>
      </c>
      <c r="B143" s="2" t="s">
        <v>40</v>
      </c>
      <c r="C143" s="2" t="s">
        <v>41</v>
      </c>
      <c r="D143" s="2" t="s">
        <v>26</v>
      </c>
      <c r="E143" s="2" t="s">
        <v>42</v>
      </c>
      <c r="F143" s="2" t="s">
        <v>43</v>
      </c>
      <c r="G143" s="2" t="s">
        <v>25</v>
      </c>
      <c r="H143" s="2" t="s">
        <v>44</v>
      </c>
      <c r="I143" s="2" t="s">
        <v>5</v>
      </c>
      <c r="J143" s="2" t="s">
        <v>6</v>
      </c>
      <c r="K143" s="2" t="s">
        <v>45</v>
      </c>
      <c r="L143" s="2" t="s">
        <v>46</v>
      </c>
      <c r="M143" s="2" t="s">
        <v>47</v>
      </c>
      <c r="N143" s="2" t="s">
        <v>48</v>
      </c>
      <c r="O143" s="2" t="s">
        <v>49</v>
      </c>
      <c r="P143" s="2" t="s">
        <v>24</v>
      </c>
      <c r="Q143" s="2" t="s">
        <v>50</v>
      </c>
      <c r="R143" s="2" t="s">
        <v>51</v>
      </c>
      <c r="S143" s="2" t="s">
        <v>52</v>
      </c>
      <c r="T143" s="2" t="s">
        <v>53</v>
      </c>
    </row>
    <row r="144" spans="1:27" hidden="1" outlineLevel="1" collapsed="1" x14ac:dyDescent="0.2">
      <c r="A144" t="s">
        <v>37</v>
      </c>
      <c r="B144" s="4" t="s">
        <v>38</v>
      </c>
      <c r="C144" s="4" t="s">
        <v>383</v>
      </c>
      <c r="D144" s="4" t="s">
        <v>112</v>
      </c>
      <c r="E144" s="4">
        <v>0.13272700000000001</v>
      </c>
      <c r="F144" s="4">
        <v>5.0826200000000004E-3</v>
      </c>
      <c r="G144" s="4">
        <v>1</v>
      </c>
      <c r="H144" s="4">
        <v>1</v>
      </c>
      <c r="I144" s="4">
        <v>1</v>
      </c>
      <c r="J144" s="4">
        <v>4</v>
      </c>
      <c r="K144" s="4" t="s">
        <v>376</v>
      </c>
      <c r="L144" s="4" t="s">
        <v>384</v>
      </c>
      <c r="M144" s="4" t="s">
        <v>37</v>
      </c>
      <c r="N144" s="4">
        <v>0</v>
      </c>
      <c r="O144" s="4">
        <v>2006.9487799999999</v>
      </c>
      <c r="P144" s="4" t="s">
        <v>38</v>
      </c>
      <c r="Q144" s="4" t="s">
        <v>38</v>
      </c>
      <c r="R144" s="4">
        <v>1.3159999999999999E-3</v>
      </c>
      <c r="S144" s="4">
        <v>3.934E-2</v>
      </c>
      <c r="T144" s="4">
        <v>3.27</v>
      </c>
    </row>
    <row r="145" spans="1:27" hidden="1" outlineLevel="1" collapsed="1" x14ac:dyDescent="0.2">
      <c r="A145" t="s">
        <v>37</v>
      </c>
      <c r="B145" s="4" t="s">
        <v>38</v>
      </c>
      <c r="C145" s="4" t="s">
        <v>385</v>
      </c>
      <c r="D145" s="4" t="s">
        <v>386</v>
      </c>
      <c r="E145" s="4">
        <v>4.6927200000000002E-2</v>
      </c>
      <c r="F145" s="4">
        <v>5.0826200000000004E-3</v>
      </c>
      <c r="G145" s="4">
        <v>1</v>
      </c>
      <c r="H145" s="4">
        <v>1</v>
      </c>
      <c r="I145" s="4">
        <v>1</v>
      </c>
      <c r="J145" s="4">
        <v>3</v>
      </c>
      <c r="K145" s="4" t="s">
        <v>376</v>
      </c>
      <c r="L145" s="4" t="s">
        <v>387</v>
      </c>
      <c r="M145" s="4" t="s">
        <v>37</v>
      </c>
      <c r="N145" s="4">
        <v>0</v>
      </c>
      <c r="O145" s="4">
        <v>1340.65887</v>
      </c>
      <c r="P145" s="4" t="s">
        <v>38</v>
      </c>
      <c r="Q145" s="4" t="s">
        <v>38</v>
      </c>
      <c r="R145" s="4">
        <v>1.3159999999999999E-3</v>
      </c>
      <c r="S145" s="4">
        <v>8.8730000000000007E-3</v>
      </c>
      <c r="T145" s="4">
        <v>2.99</v>
      </c>
    </row>
    <row r="146" spans="1:27" hidden="1" outlineLevel="1" collapsed="1" x14ac:dyDescent="0.2">
      <c r="A146" t="s">
        <v>37</v>
      </c>
      <c r="B146" s="4" t="s">
        <v>38</v>
      </c>
      <c r="C146" s="4" t="s">
        <v>388</v>
      </c>
      <c r="D146" s="4" t="s">
        <v>37</v>
      </c>
      <c r="E146" s="4">
        <v>1.37847E-2</v>
      </c>
      <c r="F146" s="4">
        <v>5.0826200000000004E-3</v>
      </c>
      <c r="G146" s="4">
        <v>1</v>
      </c>
      <c r="H146" s="4">
        <v>1</v>
      </c>
      <c r="I146" s="4">
        <v>1</v>
      </c>
      <c r="J146" s="4">
        <v>4</v>
      </c>
      <c r="K146" s="4" t="s">
        <v>376</v>
      </c>
      <c r="L146" s="4" t="s">
        <v>389</v>
      </c>
      <c r="M146" s="4" t="s">
        <v>37</v>
      </c>
      <c r="N146" s="4">
        <v>0</v>
      </c>
      <c r="O146" s="4">
        <v>1598.83843</v>
      </c>
      <c r="P146" s="4" t="s">
        <v>38</v>
      </c>
      <c r="Q146" s="4" t="s">
        <v>38</v>
      </c>
      <c r="R146" s="4">
        <v>1.3159999999999999E-3</v>
      </c>
      <c r="S146" s="4">
        <v>1.578E-3</v>
      </c>
      <c r="T146" s="4">
        <v>3.9</v>
      </c>
    </row>
    <row r="147" spans="1:27" hidden="1" outlineLevel="1" collapsed="1" x14ac:dyDescent="0.2">
      <c r="A147" t="s">
        <v>37</v>
      </c>
      <c r="B147" s="4" t="s">
        <v>38</v>
      </c>
      <c r="C147" s="4" t="s">
        <v>390</v>
      </c>
      <c r="D147" s="4" t="s">
        <v>368</v>
      </c>
      <c r="E147" s="4">
        <v>3.2432900000000001E-2</v>
      </c>
      <c r="F147" s="4">
        <v>5.0826200000000004E-3</v>
      </c>
      <c r="G147" s="4">
        <v>1</v>
      </c>
      <c r="H147" s="4">
        <v>1</v>
      </c>
      <c r="I147" s="4">
        <v>1</v>
      </c>
      <c r="J147" s="4">
        <v>3</v>
      </c>
      <c r="K147" s="4" t="s">
        <v>376</v>
      </c>
      <c r="L147" s="4" t="s">
        <v>391</v>
      </c>
      <c r="M147" s="4" t="s">
        <v>37</v>
      </c>
      <c r="N147" s="4">
        <v>0</v>
      </c>
      <c r="O147" s="4">
        <v>1723.8571099999999</v>
      </c>
      <c r="P147" s="4" t="s">
        <v>38</v>
      </c>
      <c r="Q147" s="4" t="s">
        <v>38</v>
      </c>
      <c r="R147" s="4">
        <v>1.3159999999999999E-3</v>
      </c>
      <c r="S147" s="4">
        <v>5.2700000000000004E-3</v>
      </c>
      <c r="T147" s="4">
        <v>2.36</v>
      </c>
    </row>
    <row r="148" spans="1:27" collapsed="1" x14ac:dyDescent="0.2">
      <c r="A148" s="3" t="s">
        <v>27</v>
      </c>
      <c r="B148" s="3" t="s">
        <v>392</v>
      </c>
      <c r="C148" s="3" t="s">
        <v>393</v>
      </c>
      <c r="D148" s="3">
        <v>19</v>
      </c>
      <c r="E148" s="3">
        <v>6</v>
      </c>
      <c r="F148" s="3">
        <v>6</v>
      </c>
      <c r="G148" s="3">
        <v>11</v>
      </c>
      <c r="H148" s="3">
        <v>6</v>
      </c>
      <c r="I148" s="3">
        <v>623</v>
      </c>
      <c r="J148" s="3">
        <v>62</v>
      </c>
      <c r="K148" s="3">
        <v>5.24</v>
      </c>
      <c r="L148" s="3">
        <v>30.48</v>
      </c>
      <c r="M148" s="3">
        <v>6</v>
      </c>
      <c r="N148" s="3" t="s">
        <v>394</v>
      </c>
      <c r="O148" s="3" t="s">
        <v>395</v>
      </c>
      <c r="P148" s="3" t="s">
        <v>121</v>
      </c>
      <c r="Q148" s="3" t="s">
        <v>396</v>
      </c>
      <c r="R148" s="3" t="s">
        <v>397</v>
      </c>
      <c r="S148" s="3" t="s">
        <v>398</v>
      </c>
      <c r="T148" s="3" t="s">
        <v>399</v>
      </c>
      <c r="U148" s="3" t="s">
        <v>400</v>
      </c>
      <c r="V148" s="3" t="s">
        <v>401</v>
      </c>
      <c r="W148" s="3" t="s">
        <v>37</v>
      </c>
      <c r="X148" s="3">
        <v>2</v>
      </c>
      <c r="Y148" s="3" t="s">
        <v>38</v>
      </c>
      <c r="Z148" s="3">
        <v>1</v>
      </c>
      <c r="AA148" s="3" t="s">
        <v>37</v>
      </c>
    </row>
    <row r="149" spans="1:27" hidden="1" outlineLevel="1" collapsed="1" x14ac:dyDescent="0.2">
      <c r="A149" t="s">
        <v>37</v>
      </c>
      <c r="B149" s="2" t="s">
        <v>40</v>
      </c>
      <c r="C149" s="2" t="s">
        <v>41</v>
      </c>
      <c r="D149" s="2" t="s">
        <v>26</v>
      </c>
      <c r="E149" s="2" t="s">
        <v>42</v>
      </c>
      <c r="F149" s="2" t="s">
        <v>43</v>
      </c>
      <c r="G149" s="2" t="s">
        <v>25</v>
      </c>
      <c r="H149" s="2" t="s">
        <v>44</v>
      </c>
      <c r="I149" s="2" t="s">
        <v>5</v>
      </c>
      <c r="J149" s="2" t="s">
        <v>6</v>
      </c>
      <c r="K149" s="2" t="s">
        <v>45</v>
      </c>
      <c r="L149" s="2" t="s">
        <v>46</v>
      </c>
      <c r="M149" s="2" t="s">
        <v>47</v>
      </c>
      <c r="N149" s="2" t="s">
        <v>48</v>
      </c>
      <c r="O149" s="2" t="s">
        <v>49</v>
      </c>
      <c r="P149" s="2" t="s">
        <v>24</v>
      </c>
      <c r="Q149" s="2" t="s">
        <v>50</v>
      </c>
      <c r="R149" s="2" t="s">
        <v>51</v>
      </c>
      <c r="S149" s="2" t="s">
        <v>52</v>
      </c>
      <c r="T149" s="2" t="s">
        <v>53</v>
      </c>
    </row>
    <row r="150" spans="1:27" hidden="1" outlineLevel="1" collapsed="1" x14ac:dyDescent="0.2">
      <c r="A150" t="s">
        <v>37</v>
      </c>
      <c r="B150" s="4" t="s">
        <v>38</v>
      </c>
      <c r="C150" s="4" t="s">
        <v>402</v>
      </c>
      <c r="D150" s="4" t="s">
        <v>37</v>
      </c>
      <c r="E150" s="4">
        <v>0.181036</v>
      </c>
      <c r="F150" s="4">
        <v>5.0826200000000004E-3</v>
      </c>
      <c r="G150" s="4">
        <v>1</v>
      </c>
      <c r="H150" s="4">
        <v>2</v>
      </c>
      <c r="I150" s="4">
        <v>1</v>
      </c>
      <c r="J150" s="4">
        <v>2</v>
      </c>
      <c r="K150" s="4" t="s">
        <v>392</v>
      </c>
      <c r="L150" s="4" t="s">
        <v>403</v>
      </c>
      <c r="M150" s="4" t="s">
        <v>37</v>
      </c>
      <c r="N150" s="4">
        <v>0</v>
      </c>
      <c r="O150" s="4">
        <v>3264.51386</v>
      </c>
      <c r="P150" s="4" t="s">
        <v>38</v>
      </c>
      <c r="Q150" s="4" t="s">
        <v>38</v>
      </c>
      <c r="R150" s="4">
        <v>1.3159999999999999E-3</v>
      </c>
      <c r="S150" s="4">
        <v>6.2399999999999997E-2</v>
      </c>
      <c r="T150" s="4">
        <v>3.75</v>
      </c>
    </row>
    <row r="151" spans="1:27" hidden="1" outlineLevel="1" collapsed="1" x14ac:dyDescent="0.2">
      <c r="A151" t="s">
        <v>37</v>
      </c>
      <c r="B151" s="4" t="s">
        <v>38</v>
      </c>
      <c r="C151" s="4" t="s">
        <v>404</v>
      </c>
      <c r="D151" s="4" t="s">
        <v>37</v>
      </c>
      <c r="E151" s="4">
        <v>9.5582600000000004E-2</v>
      </c>
      <c r="F151" s="4">
        <v>5.0826200000000004E-3</v>
      </c>
      <c r="G151" s="4">
        <v>1</v>
      </c>
      <c r="H151" s="4">
        <v>2</v>
      </c>
      <c r="I151" s="4">
        <v>1</v>
      </c>
      <c r="J151" s="4">
        <v>4</v>
      </c>
      <c r="K151" s="4" t="s">
        <v>392</v>
      </c>
      <c r="L151" s="4" t="s">
        <v>405</v>
      </c>
      <c r="M151" s="4" t="s">
        <v>37</v>
      </c>
      <c r="N151" s="4">
        <v>0</v>
      </c>
      <c r="O151" s="4">
        <v>2510.13177</v>
      </c>
      <c r="P151" s="4" t="s">
        <v>38</v>
      </c>
      <c r="Q151" s="4" t="s">
        <v>38</v>
      </c>
      <c r="R151" s="4">
        <v>1.3159999999999999E-3</v>
      </c>
      <c r="S151" s="4">
        <v>2.4479999999999998E-2</v>
      </c>
      <c r="T151" s="4">
        <v>4.07</v>
      </c>
    </row>
    <row r="152" spans="1:27" hidden="1" outlineLevel="1" collapsed="1" x14ac:dyDescent="0.2">
      <c r="A152" t="s">
        <v>37</v>
      </c>
      <c r="B152" s="4" t="s">
        <v>38</v>
      </c>
      <c r="C152" s="4" t="s">
        <v>406</v>
      </c>
      <c r="D152" s="4" t="s">
        <v>37</v>
      </c>
      <c r="E152" s="4">
        <v>0.32240400000000002</v>
      </c>
      <c r="F152" s="4">
        <v>5.0826200000000004E-3</v>
      </c>
      <c r="G152" s="4">
        <v>1</v>
      </c>
      <c r="H152" s="4">
        <v>2</v>
      </c>
      <c r="I152" s="4">
        <v>1</v>
      </c>
      <c r="J152" s="4">
        <v>1</v>
      </c>
      <c r="K152" s="4" t="s">
        <v>392</v>
      </c>
      <c r="L152" s="4" t="s">
        <v>407</v>
      </c>
      <c r="M152" s="4" t="s">
        <v>37</v>
      </c>
      <c r="N152" s="4">
        <v>1</v>
      </c>
      <c r="O152" s="4">
        <v>2902.4105100000002</v>
      </c>
      <c r="P152" s="4" t="s">
        <v>38</v>
      </c>
      <c r="Q152" s="4" t="s">
        <v>38</v>
      </c>
      <c r="R152" s="4">
        <v>1.3159999999999999E-3</v>
      </c>
      <c r="S152" s="4">
        <v>0.1507</v>
      </c>
      <c r="T152" s="4">
        <v>2.84</v>
      </c>
    </row>
    <row r="153" spans="1:27" hidden="1" outlineLevel="1" collapsed="1" x14ac:dyDescent="0.2">
      <c r="A153" t="s">
        <v>37</v>
      </c>
      <c r="B153" s="4" t="s">
        <v>38</v>
      </c>
      <c r="C153" s="4" t="s">
        <v>408</v>
      </c>
      <c r="D153" s="4" t="s">
        <v>37</v>
      </c>
      <c r="E153" s="4">
        <v>3.2646099999999997E-2</v>
      </c>
      <c r="F153" s="4">
        <v>5.0826200000000004E-3</v>
      </c>
      <c r="G153" s="4">
        <v>1</v>
      </c>
      <c r="H153" s="4">
        <v>2</v>
      </c>
      <c r="I153" s="4">
        <v>1</v>
      </c>
      <c r="J153" s="4">
        <v>1</v>
      </c>
      <c r="K153" s="4" t="s">
        <v>392</v>
      </c>
      <c r="L153" s="4" t="s">
        <v>409</v>
      </c>
      <c r="M153" s="4" t="s">
        <v>37</v>
      </c>
      <c r="N153" s="4">
        <v>0</v>
      </c>
      <c r="O153" s="4">
        <v>1232.5978</v>
      </c>
      <c r="P153" s="4" t="s">
        <v>38</v>
      </c>
      <c r="Q153" s="4" t="s">
        <v>38</v>
      </c>
      <c r="R153" s="4">
        <v>1.3159999999999999E-3</v>
      </c>
      <c r="S153" s="4">
        <v>5.3070000000000001E-3</v>
      </c>
      <c r="T153" s="4">
        <v>2.33</v>
      </c>
    </row>
    <row r="154" spans="1:27" hidden="1" outlineLevel="1" collapsed="1" x14ac:dyDescent="0.2">
      <c r="A154" t="s">
        <v>37</v>
      </c>
      <c r="B154" s="4" t="s">
        <v>38</v>
      </c>
      <c r="C154" s="4" t="s">
        <v>410</v>
      </c>
      <c r="D154" s="4" t="s">
        <v>37</v>
      </c>
      <c r="E154" s="4">
        <v>0.33773999999999998</v>
      </c>
      <c r="F154" s="4">
        <v>5.0826200000000004E-3</v>
      </c>
      <c r="G154" s="4">
        <v>1</v>
      </c>
      <c r="H154" s="4">
        <v>2</v>
      </c>
      <c r="I154" s="4">
        <v>1</v>
      </c>
      <c r="J154" s="4">
        <v>2</v>
      </c>
      <c r="K154" s="4" t="s">
        <v>392</v>
      </c>
      <c r="L154" s="4" t="s">
        <v>411</v>
      </c>
      <c r="M154" s="4" t="s">
        <v>37</v>
      </c>
      <c r="N154" s="4">
        <v>0</v>
      </c>
      <c r="O154" s="4">
        <v>1060.56331</v>
      </c>
      <c r="P154" s="4" t="s">
        <v>38</v>
      </c>
      <c r="Q154" s="4" t="s">
        <v>38</v>
      </c>
      <c r="R154" s="4">
        <v>1.3159999999999999E-3</v>
      </c>
      <c r="S154" s="4">
        <v>0.16200000000000001</v>
      </c>
      <c r="T154" s="4">
        <v>1.66</v>
      </c>
    </row>
    <row r="155" spans="1:27" hidden="1" outlineLevel="1" collapsed="1" x14ac:dyDescent="0.2">
      <c r="A155" t="s">
        <v>37</v>
      </c>
      <c r="B155" s="4" t="s">
        <v>38</v>
      </c>
      <c r="C155" s="4" t="s">
        <v>412</v>
      </c>
      <c r="D155" s="4" t="s">
        <v>37</v>
      </c>
      <c r="E155" s="4">
        <v>0.29746400000000001</v>
      </c>
      <c r="F155" s="4">
        <v>5.0826200000000004E-3</v>
      </c>
      <c r="G155" s="4">
        <v>1</v>
      </c>
      <c r="H155" s="4">
        <v>2</v>
      </c>
      <c r="I155" s="4">
        <v>1</v>
      </c>
      <c r="J155" s="4">
        <v>1</v>
      </c>
      <c r="K155" s="4" t="s">
        <v>392</v>
      </c>
      <c r="L155" s="4" t="s">
        <v>413</v>
      </c>
      <c r="M155" s="4" t="s">
        <v>37</v>
      </c>
      <c r="N155" s="4">
        <v>0</v>
      </c>
      <c r="O155" s="4">
        <v>1586.76566</v>
      </c>
      <c r="P155" s="4" t="s">
        <v>38</v>
      </c>
      <c r="Q155" s="4" t="s">
        <v>38</v>
      </c>
      <c r="R155" s="4">
        <v>1.3159999999999999E-3</v>
      </c>
      <c r="S155" s="4">
        <v>0.13300000000000001</v>
      </c>
      <c r="T155" s="4">
        <v>1.47</v>
      </c>
    </row>
    <row r="156" spans="1:27" collapsed="1" x14ac:dyDescent="0.2">
      <c r="A156" s="3" t="s">
        <v>27</v>
      </c>
      <c r="B156" s="3" t="s">
        <v>414</v>
      </c>
      <c r="C156" s="3" t="s">
        <v>415</v>
      </c>
      <c r="D156" s="3">
        <v>6</v>
      </c>
      <c r="E156" s="3">
        <v>2</v>
      </c>
      <c r="F156" s="3">
        <v>2</v>
      </c>
      <c r="G156" s="3">
        <v>7</v>
      </c>
      <c r="H156" s="3">
        <v>2</v>
      </c>
      <c r="I156" s="3">
        <v>563</v>
      </c>
      <c r="J156" s="3">
        <v>61.5</v>
      </c>
      <c r="K156" s="3">
        <v>6.19</v>
      </c>
      <c r="L156" s="3">
        <v>25.45</v>
      </c>
      <c r="M156" s="3">
        <v>2</v>
      </c>
      <c r="N156" s="3" t="s">
        <v>358</v>
      </c>
      <c r="O156" s="3" t="s">
        <v>416</v>
      </c>
      <c r="P156" s="3" t="s">
        <v>32</v>
      </c>
      <c r="Q156" s="3" t="s">
        <v>417</v>
      </c>
      <c r="R156" s="3" t="s">
        <v>418</v>
      </c>
      <c r="S156" s="3" t="s">
        <v>419</v>
      </c>
      <c r="T156" s="3" t="s">
        <v>420</v>
      </c>
      <c r="U156" s="3" t="s">
        <v>37</v>
      </c>
      <c r="V156" s="3" t="s">
        <v>37</v>
      </c>
      <c r="W156" s="3" t="s">
        <v>37</v>
      </c>
      <c r="X156" s="3">
        <v>0</v>
      </c>
      <c r="Y156" s="3" t="s">
        <v>38</v>
      </c>
      <c r="Z156" s="3">
        <v>1</v>
      </c>
      <c r="AA156" s="3" t="s">
        <v>37</v>
      </c>
    </row>
    <row r="157" spans="1:27" hidden="1" outlineLevel="1" collapsed="1" x14ac:dyDescent="0.2">
      <c r="A157" t="s">
        <v>37</v>
      </c>
      <c r="B157" s="2" t="s">
        <v>40</v>
      </c>
      <c r="C157" s="2" t="s">
        <v>41</v>
      </c>
      <c r="D157" s="2" t="s">
        <v>26</v>
      </c>
      <c r="E157" s="2" t="s">
        <v>42</v>
      </c>
      <c r="F157" s="2" t="s">
        <v>43</v>
      </c>
      <c r="G157" s="2" t="s">
        <v>25</v>
      </c>
      <c r="H157" s="2" t="s">
        <v>44</v>
      </c>
      <c r="I157" s="2" t="s">
        <v>5</v>
      </c>
      <c r="J157" s="2" t="s">
        <v>6</v>
      </c>
      <c r="K157" s="2" t="s">
        <v>45</v>
      </c>
      <c r="L157" s="2" t="s">
        <v>46</v>
      </c>
      <c r="M157" s="2" t="s">
        <v>47</v>
      </c>
      <c r="N157" s="2" t="s">
        <v>48</v>
      </c>
      <c r="O157" s="2" t="s">
        <v>49</v>
      </c>
      <c r="P157" s="2" t="s">
        <v>24</v>
      </c>
      <c r="Q157" s="2" t="s">
        <v>50</v>
      </c>
      <c r="R157" s="2" t="s">
        <v>51</v>
      </c>
      <c r="S157" s="2" t="s">
        <v>52</v>
      </c>
      <c r="T157" s="2" t="s">
        <v>53</v>
      </c>
    </row>
    <row r="158" spans="1:27" hidden="1" outlineLevel="1" collapsed="1" x14ac:dyDescent="0.2">
      <c r="A158" t="s">
        <v>37</v>
      </c>
      <c r="B158" s="4" t="s">
        <v>38</v>
      </c>
      <c r="C158" s="4" t="s">
        <v>421</v>
      </c>
      <c r="D158" s="4" t="s">
        <v>112</v>
      </c>
      <c r="E158" s="4">
        <v>4.9762399999999998E-2</v>
      </c>
      <c r="F158" s="4">
        <v>5.0826200000000004E-3</v>
      </c>
      <c r="G158" s="4">
        <v>1</v>
      </c>
      <c r="H158" s="4">
        <v>1</v>
      </c>
      <c r="I158" s="4">
        <v>1</v>
      </c>
      <c r="J158" s="4">
        <v>3</v>
      </c>
      <c r="K158" s="4" t="s">
        <v>414</v>
      </c>
      <c r="L158" s="4" t="s">
        <v>422</v>
      </c>
      <c r="M158" s="4" t="s">
        <v>37</v>
      </c>
      <c r="N158" s="4">
        <v>0</v>
      </c>
      <c r="O158" s="4">
        <v>1793.9506200000001</v>
      </c>
      <c r="P158" s="4" t="s">
        <v>38</v>
      </c>
      <c r="Q158" s="4" t="s">
        <v>38</v>
      </c>
      <c r="R158" s="4">
        <v>1.3159999999999999E-3</v>
      </c>
      <c r="S158" s="4">
        <v>9.6349999999999995E-3</v>
      </c>
      <c r="T158" s="4">
        <v>3.82</v>
      </c>
    </row>
    <row r="159" spans="1:27" hidden="1" outlineLevel="1" collapsed="1" x14ac:dyDescent="0.2">
      <c r="A159" t="s">
        <v>37</v>
      </c>
      <c r="B159" s="4" t="s">
        <v>38</v>
      </c>
      <c r="C159" s="4" t="s">
        <v>423</v>
      </c>
      <c r="D159" s="4" t="s">
        <v>424</v>
      </c>
      <c r="E159" s="4">
        <v>4.5868100000000002E-2</v>
      </c>
      <c r="F159" s="4">
        <v>5.0826200000000004E-3</v>
      </c>
      <c r="G159" s="4">
        <v>1</v>
      </c>
      <c r="H159" s="4">
        <v>1</v>
      </c>
      <c r="I159" s="4">
        <v>1</v>
      </c>
      <c r="J159" s="4">
        <v>4</v>
      </c>
      <c r="K159" s="4" t="s">
        <v>414</v>
      </c>
      <c r="L159" s="4" t="s">
        <v>425</v>
      </c>
      <c r="M159" s="4" t="s">
        <v>37</v>
      </c>
      <c r="N159" s="4">
        <v>0</v>
      </c>
      <c r="O159" s="4">
        <v>2318.1770700000002</v>
      </c>
      <c r="P159" s="4" t="s">
        <v>38</v>
      </c>
      <c r="Q159" s="4" t="s">
        <v>38</v>
      </c>
      <c r="R159" s="4">
        <v>1.3159999999999999E-3</v>
      </c>
      <c r="S159" s="4">
        <v>8.5760000000000003E-3</v>
      </c>
      <c r="T159" s="4">
        <v>4.47</v>
      </c>
    </row>
    <row r="160" spans="1:27" collapsed="1" x14ac:dyDescent="0.2">
      <c r="A160" s="3" t="s">
        <v>27</v>
      </c>
      <c r="B160" s="3" t="s">
        <v>426</v>
      </c>
      <c r="C160" s="3" t="s">
        <v>427</v>
      </c>
      <c r="D160" s="3">
        <v>24</v>
      </c>
      <c r="E160" s="3">
        <v>3</v>
      </c>
      <c r="F160" s="3">
        <v>3</v>
      </c>
      <c r="G160" s="3">
        <v>6</v>
      </c>
      <c r="H160" s="3">
        <v>3</v>
      </c>
      <c r="I160" s="3">
        <v>213</v>
      </c>
      <c r="J160" s="3">
        <v>24.6</v>
      </c>
      <c r="K160" s="3">
        <v>4.96</v>
      </c>
      <c r="L160" s="3">
        <v>18.28</v>
      </c>
      <c r="M160" s="3">
        <v>3</v>
      </c>
      <c r="N160" s="3" t="s">
        <v>428</v>
      </c>
      <c r="O160" s="3" t="s">
        <v>268</v>
      </c>
      <c r="P160" s="3" t="s">
        <v>32</v>
      </c>
      <c r="Q160" s="3" t="s">
        <v>429</v>
      </c>
      <c r="R160" s="3" t="s">
        <v>430</v>
      </c>
      <c r="S160" s="3" t="s">
        <v>431</v>
      </c>
      <c r="T160" s="3" t="s">
        <v>432</v>
      </c>
      <c r="U160" s="3" t="s">
        <v>37</v>
      </c>
      <c r="V160" s="3" t="s">
        <v>37</v>
      </c>
      <c r="W160" s="3" t="s">
        <v>37</v>
      </c>
      <c r="X160" s="3">
        <v>0</v>
      </c>
      <c r="Y160" s="3" t="s">
        <v>38</v>
      </c>
      <c r="Z160" s="3">
        <v>1</v>
      </c>
      <c r="AA160" s="3" t="s">
        <v>37</v>
      </c>
    </row>
    <row r="161" spans="1:27" hidden="1" outlineLevel="1" collapsed="1" x14ac:dyDescent="0.2">
      <c r="A161" t="s">
        <v>37</v>
      </c>
      <c r="B161" s="2" t="s">
        <v>40</v>
      </c>
      <c r="C161" s="2" t="s">
        <v>41</v>
      </c>
      <c r="D161" s="2" t="s">
        <v>26</v>
      </c>
      <c r="E161" s="2" t="s">
        <v>42</v>
      </c>
      <c r="F161" s="2" t="s">
        <v>43</v>
      </c>
      <c r="G161" s="2" t="s">
        <v>25</v>
      </c>
      <c r="H161" s="2" t="s">
        <v>44</v>
      </c>
      <c r="I161" s="2" t="s">
        <v>5</v>
      </c>
      <c r="J161" s="2" t="s">
        <v>6</v>
      </c>
      <c r="K161" s="2" t="s">
        <v>45</v>
      </c>
      <c r="L161" s="2" t="s">
        <v>46</v>
      </c>
      <c r="M161" s="2" t="s">
        <v>47</v>
      </c>
      <c r="N161" s="2" t="s">
        <v>48</v>
      </c>
      <c r="O161" s="2" t="s">
        <v>49</v>
      </c>
      <c r="P161" s="2" t="s">
        <v>24</v>
      </c>
      <c r="Q161" s="2" t="s">
        <v>50</v>
      </c>
      <c r="R161" s="2" t="s">
        <v>51</v>
      </c>
      <c r="S161" s="2" t="s">
        <v>52</v>
      </c>
      <c r="T161" s="2" t="s">
        <v>53</v>
      </c>
    </row>
    <row r="162" spans="1:27" hidden="1" outlineLevel="1" collapsed="1" x14ac:dyDescent="0.2">
      <c r="A162" t="s">
        <v>37</v>
      </c>
      <c r="B162" s="4" t="s">
        <v>38</v>
      </c>
      <c r="C162" s="4" t="s">
        <v>433</v>
      </c>
      <c r="D162" s="4" t="s">
        <v>37</v>
      </c>
      <c r="E162" s="4">
        <v>7.4171000000000001E-2</v>
      </c>
      <c r="F162" s="4">
        <v>5.0826200000000004E-3</v>
      </c>
      <c r="G162" s="4">
        <v>1</v>
      </c>
      <c r="H162" s="4">
        <v>1</v>
      </c>
      <c r="I162" s="4">
        <v>1</v>
      </c>
      <c r="J162" s="4">
        <v>1</v>
      </c>
      <c r="K162" s="4" t="s">
        <v>426</v>
      </c>
      <c r="L162" s="4" t="s">
        <v>434</v>
      </c>
      <c r="M162" s="4" t="s">
        <v>37</v>
      </c>
      <c r="N162" s="4">
        <v>0</v>
      </c>
      <c r="O162" s="4">
        <v>1416.7369200000001</v>
      </c>
      <c r="P162" s="4" t="s">
        <v>38</v>
      </c>
      <c r="Q162" s="4" t="s">
        <v>38</v>
      </c>
      <c r="R162" s="4">
        <v>1.3159999999999999E-3</v>
      </c>
      <c r="S162" s="4">
        <v>1.6979999999999999E-2</v>
      </c>
      <c r="T162" s="4">
        <v>2.36</v>
      </c>
    </row>
    <row r="163" spans="1:27" hidden="1" outlineLevel="1" collapsed="1" x14ac:dyDescent="0.2">
      <c r="A163" t="s">
        <v>37</v>
      </c>
      <c r="B163" s="4" t="s">
        <v>38</v>
      </c>
      <c r="C163" s="4" t="s">
        <v>435</v>
      </c>
      <c r="D163" s="4" t="s">
        <v>37</v>
      </c>
      <c r="E163" s="4">
        <v>8.4540799999999992E-3</v>
      </c>
      <c r="F163" s="4">
        <v>5.0826200000000004E-3</v>
      </c>
      <c r="G163" s="4">
        <v>1</v>
      </c>
      <c r="H163" s="4">
        <v>1</v>
      </c>
      <c r="I163" s="4">
        <v>1</v>
      </c>
      <c r="J163" s="4">
        <v>2</v>
      </c>
      <c r="K163" s="4" t="s">
        <v>426</v>
      </c>
      <c r="L163" s="4" t="s">
        <v>436</v>
      </c>
      <c r="M163" s="4" t="s">
        <v>37</v>
      </c>
      <c r="N163" s="4">
        <v>0</v>
      </c>
      <c r="O163" s="4">
        <v>1911.05457</v>
      </c>
      <c r="P163" s="4" t="s">
        <v>38</v>
      </c>
      <c r="Q163" s="4" t="s">
        <v>38</v>
      </c>
      <c r="R163" s="4">
        <v>1.3159999999999999E-3</v>
      </c>
      <c r="S163" s="4">
        <v>7.9370000000000005E-4</v>
      </c>
      <c r="T163" s="4">
        <v>3.43</v>
      </c>
    </row>
    <row r="164" spans="1:27" hidden="1" outlineLevel="1" collapsed="1" x14ac:dyDescent="0.2">
      <c r="A164" t="s">
        <v>37</v>
      </c>
      <c r="B164" s="4" t="s">
        <v>38</v>
      </c>
      <c r="C164" s="4" t="s">
        <v>437</v>
      </c>
      <c r="D164" s="4" t="s">
        <v>37</v>
      </c>
      <c r="E164" s="4">
        <v>1.1382E-2</v>
      </c>
      <c r="F164" s="4">
        <v>5.0826200000000004E-3</v>
      </c>
      <c r="G164" s="4">
        <v>1</v>
      </c>
      <c r="H164" s="4">
        <v>1</v>
      </c>
      <c r="I164" s="4">
        <v>1</v>
      </c>
      <c r="J164" s="4">
        <v>3</v>
      </c>
      <c r="K164" s="4" t="s">
        <v>426</v>
      </c>
      <c r="L164" s="4" t="s">
        <v>438</v>
      </c>
      <c r="M164" s="4" t="s">
        <v>37</v>
      </c>
      <c r="N164" s="4">
        <v>0</v>
      </c>
      <c r="O164" s="4">
        <v>2452.2453399999999</v>
      </c>
      <c r="P164" s="4" t="s">
        <v>38</v>
      </c>
      <c r="Q164" s="4" t="s">
        <v>38</v>
      </c>
      <c r="R164" s="4">
        <v>1.3159999999999999E-3</v>
      </c>
      <c r="S164" s="4">
        <v>1.2049999999999999E-3</v>
      </c>
      <c r="T164" s="4">
        <v>3.3</v>
      </c>
    </row>
    <row r="165" spans="1:27" collapsed="1" x14ac:dyDescent="0.2">
      <c r="A165" s="3" t="s">
        <v>27</v>
      </c>
      <c r="B165" s="3" t="s">
        <v>439</v>
      </c>
      <c r="C165" s="3" t="s">
        <v>440</v>
      </c>
      <c r="D165" s="3">
        <v>5</v>
      </c>
      <c r="E165" s="3">
        <v>1</v>
      </c>
      <c r="F165" s="3">
        <v>1</v>
      </c>
      <c r="G165" s="3">
        <v>5</v>
      </c>
      <c r="H165" s="3">
        <v>1</v>
      </c>
      <c r="I165" s="3">
        <v>458</v>
      </c>
      <c r="J165" s="3">
        <v>50</v>
      </c>
      <c r="K165" s="3">
        <v>9.0399999999999991</v>
      </c>
      <c r="L165" s="3">
        <v>17.559999999999999</v>
      </c>
      <c r="M165" s="3">
        <v>1</v>
      </c>
      <c r="N165" s="3" t="s">
        <v>441</v>
      </c>
      <c r="O165" s="3" t="s">
        <v>442</v>
      </c>
      <c r="P165" s="3" t="s">
        <v>443</v>
      </c>
      <c r="Q165" s="3" t="s">
        <v>444</v>
      </c>
      <c r="R165" s="3" t="s">
        <v>445</v>
      </c>
      <c r="S165" s="3" t="s">
        <v>446</v>
      </c>
      <c r="T165" s="3" t="s">
        <v>447</v>
      </c>
      <c r="U165" s="3" t="s">
        <v>448</v>
      </c>
      <c r="V165" s="3" t="s">
        <v>37</v>
      </c>
      <c r="W165" s="3" t="s">
        <v>37</v>
      </c>
      <c r="X165" s="3">
        <v>4</v>
      </c>
      <c r="Y165" s="3" t="s">
        <v>38</v>
      </c>
      <c r="Z165" s="3">
        <v>1</v>
      </c>
      <c r="AA165" s="3" t="s">
        <v>37</v>
      </c>
    </row>
    <row r="166" spans="1:27" hidden="1" outlineLevel="1" collapsed="1" x14ac:dyDescent="0.2">
      <c r="A166" t="s">
        <v>37</v>
      </c>
      <c r="B166" s="2" t="s">
        <v>40</v>
      </c>
      <c r="C166" s="2" t="s">
        <v>41</v>
      </c>
      <c r="D166" s="2" t="s">
        <v>26</v>
      </c>
      <c r="E166" s="2" t="s">
        <v>42</v>
      </c>
      <c r="F166" s="2" t="s">
        <v>43</v>
      </c>
      <c r="G166" s="2" t="s">
        <v>25</v>
      </c>
      <c r="H166" s="2" t="s">
        <v>44</v>
      </c>
      <c r="I166" s="2" t="s">
        <v>5</v>
      </c>
      <c r="J166" s="2" t="s">
        <v>6</v>
      </c>
      <c r="K166" s="2" t="s">
        <v>45</v>
      </c>
      <c r="L166" s="2" t="s">
        <v>46</v>
      </c>
      <c r="M166" s="2" t="s">
        <v>47</v>
      </c>
      <c r="N166" s="2" t="s">
        <v>48</v>
      </c>
      <c r="O166" s="2" t="s">
        <v>49</v>
      </c>
      <c r="P166" s="2" t="s">
        <v>24</v>
      </c>
      <c r="Q166" s="2" t="s">
        <v>50</v>
      </c>
      <c r="R166" s="2" t="s">
        <v>51</v>
      </c>
      <c r="S166" s="2" t="s">
        <v>52</v>
      </c>
      <c r="T166" s="2" t="s">
        <v>53</v>
      </c>
    </row>
    <row r="167" spans="1:27" hidden="1" outlineLevel="1" collapsed="1" x14ac:dyDescent="0.2">
      <c r="A167" t="s">
        <v>37</v>
      </c>
      <c r="B167" s="4" t="s">
        <v>38</v>
      </c>
      <c r="C167" s="4" t="s">
        <v>449</v>
      </c>
      <c r="D167" s="4" t="s">
        <v>450</v>
      </c>
      <c r="E167" s="4">
        <v>0.18771099999999999</v>
      </c>
      <c r="F167" s="4">
        <v>5.0826200000000004E-3</v>
      </c>
      <c r="G167" s="4">
        <v>1</v>
      </c>
      <c r="H167" s="4">
        <v>1</v>
      </c>
      <c r="I167" s="4">
        <v>1</v>
      </c>
      <c r="J167" s="4">
        <v>5</v>
      </c>
      <c r="K167" s="4" t="s">
        <v>439</v>
      </c>
      <c r="L167" s="4" t="s">
        <v>451</v>
      </c>
      <c r="M167" s="4" t="s">
        <v>37</v>
      </c>
      <c r="N167" s="4">
        <v>0</v>
      </c>
      <c r="O167" s="4">
        <v>2446.3261699999998</v>
      </c>
      <c r="P167" s="4" t="s">
        <v>38</v>
      </c>
      <c r="Q167" s="4" t="s">
        <v>38</v>
      </c>
      <c r="R167" s="4">
        <v>1.3159999999999999E-3</v>
      </c>
      <c r="S167" s="4">
        <v>6.5930000000000002E-2</v>
      </c>
      <c r="T167" s="4">
        <v>4.3499999999999996</v>
      </c>
    </row>
    <row r="168" spans="1:27" collapsed="1" x14ac:dyDescent="0.2">
      <c r="A168" s="3" t="s">
        <v>27</v>
      </c>
      <c r="B168" s="3" t="s">
        <v>452</v>
      </c>
      <c r="C168" s="3" t="s">
        <v>453</v>
      </c>
      <c r="D168" s="3">
        <v>12</v>
      </c>
      <c r="E168" s="3">
        <v>3</v>
      </c>
      <c r="F168" s="3">
        <v>3</v>
      </c>
      <c r="G168" s="3">
        <v>6</v>
      </c>
      <c r="H168" s="3">
        <v>3</v>
      </c>
      <c r="I168" s="3">
        <v>385</v>
      </c>
      <c r="J168" s="3">
        <v>44.6</v>
      </c>
      <c r="K168" s="3">
        <v>4.87</v>
      </c>
      <c r="L168" s="3">
        <v>17.27</v>
      </c>
      <c r="M168" s="3">
        <v>3</v>
      </c>
      <c r="N168" s="3" t="s">
        <v>37</v>
      </c>
      <c r="O168" s="3" t="s">
        <v>337</v>
      </c>
      <c r="P168" s="3" t="s">
        <v>37</v>
      </c>
      <c r="Q168" s="3" t="s">
        <v>454</v>
      </c>
      <c r="R168" s="3" t="s">
        <v>455</v>
      </c>
      <c r="S168" s="3" t="s">
        <v>456</v>
      </c>
      <c r="T168" s="3" t="s">
        <v>457</v>
      </c>
      <c r="U168" s="3" t="s">
        <v>37</v>
      </c>
      <c r="V168" s="3" t="s">
        <v>37</v>
      </c>
      <c r="W168" s="3" t="s">
        <v>37</v>
      </c>
      <c r="X168" s="3">
        <v>0</v>
      </c>
      <c r="Y168" s="3" t="s">
        <v>38</v>
      </c>
      <c r="Z168" s="3">
        <v>1</v>
      </c>
      <c r="AA168" s="3" t="s">
        <v>37</v>
      </c>
    </row>
    <row r="169" spans="1:27" hidden="1" outlineLevel="1" collapsed="1" x14ac:dyDescent="0.2">
      <c r="A169" t="s">
        <v>37</v>
      </c>
      <c r="B169" s="2" t="s">
        <v>40</v>
      </c>
      <c r="C169" s="2" t="s">
        <v>41</v>
      </c>
      <c r="D169" s="2" t="s">
        <v>26</v>
      </c>
      <c r="E169" s="2" t="s">
        <v>42</v>
      </c>
      <c r="F169" s="2" t="s">
        <v>43</v>
      </c>
      <c r="G169" s="2" t="s">
        <v>25</v>
      </c>
      <c r="H169" s="2" t="s">
        <v>44</v>
      </c>
      <c r="I169" s="2" t="s">
        <v>5</v>
      </c>
      <c r="J169" s="2" t="s">
        <v>6</v>
      </c>
      <c r="K169" s="2" t="s">
        <v>45</v>
      </c>
      <c r="L169" s="2" t="s">
        <v>46</v>
      </c>
      <c r="M169" s="2" t="s">
        <v>47</v>
      </c>
      <c r="N169" s="2" t="s">
        <v>48</v>
      </c>
      <c r="O169" s="2" t="s">
        <v>49</v>
      </c>
      <c r="P169" s="2" t="s">
        <v>24</v>
      </c>
      <c r="Q169" s="2" t="s">
        <v>50</v>
      </c>
      <c r="R169" s="2" t="s">
        <v>51</v>
      </c>
      <c r="S169" s="2" t="s">
        <v>52</v>
      </c>
      <c r="T169" s="2" t="s">
        <v>53</v>
      </c>
    </row>
    <row r="170" spans="1:27" hidden="1" outlineLevel="1" collapsed="1" x14ac:dyDescent="0.2">
      <c r="A170" t="s">
        <v>37</v>
      </c>
      <c r="B170" s="4" t="s">
        <v>38</v>
      </c>
      <c r="C170" s="4" t="s">
        <v>458</v>
      </c>
      <c r="D170" s="4" t="s">
        <v>37</v>
      </c>
      <c r="E170" s="4">
        <v>5.8552E-2</v>
      </c>
      <c r="F170" s="4">
        <v>5.0826200000000004E-3</v>
      </c>
      <c r="G170" s="4">
        <v>1</v>
      </c>
      <c r="H170" s="4">
        <v>1</v>
      </c>
      <c r="I170" s="4">
        <v>1</v>
      </c>
      <c r="J170" s="4">
        <v>4</v>
      </c>
      <c r="K170" s="4" t="s">
        <v>452</v>
      </c>
      <c r="L170" s="4" t="s">
        <v>459</v>
      </c>
      <c r="M170" s="4" t="s">
        <v>37</v>
      </c>
      <c r="N170" s="4">
        <v>0</v>
      </c>
      <c r="O170" s="4">
        <v>1361.6907000000001</v>
      </c>
      <c r="P170" s="4" t="s">
        <v>38</v>
      </c>
      <c r="Q170" s="4" t="s">
        <v>38</v>
      </c>
      <c r="R170" s="4">
        <v>1.3159999999999999E-3</v>
      </c>
      <c r="S170" s="4">
        <v>1.2160000000000001E-2</v>
      </c>
      <c r="T170" s="4">
        <v>3.07</v>
      </c>
    </row>
    <row r="171" spans="1:27" hidden="1" outlineLevel="1" collapsed="1" x14ac:dyDescent="0.2">
      <c r="A171" t="s">
        <v>37</v>
      </c>
      <c r="B171" s="4" t="s">
        <v>38</v>
      </c>
      <c r="C171" s="4" t="s">
        <v>460</v>
      </c>
      <c r="D171" s="4" t="s">
        <v>37</v>
      </c>
      <c r="E171" s="4">
        <v>0.16985900000000001</v>
      </c>
      <c r="F171" s="4">
        <v>5.0826200000000004E-3</v>
      </c>
      <c r="G171" s="4">
        <v>1</v>
      </c>
      <c r="H171" s="4">
        <v>1</v>
      </c>
      <c r="I171" s="4">
        <v>1</v>
      </c>
      <c r="J171" s="4">
        <v>1</v>
      </c>
      <c r="K171" s="4" t="s">
        <v>452</v>
      </c>
      <c r="L171" s="4" t="s">
        <v>461</v>
      </c>
      <c r="M171" s="4" t="s">
        <v>37</v>
      </c>
      <c r="N171" s="4">
        <v>1</v>
      </c>
      <c r="O171" s="4">
        <v>1731.8759299999999</v>
      </c>
      <c r="P171" s="4" t="s">
        <v>38</v>
      </c>
      <c r="Q171" s="4" t="s">
        <v>38</v>
      </c>
      <c r="R171" s="4">
        <v>1.3159999999999999E-3</v>
      </c>
      <c r="S171" s="4">
        <v>5.6770000000000001E-2</v>
      </c>
      <c r="T171" s="4">
        <v>3.2</v>
      </c>
    </row>
    <row r="172" spans="1:27" hidden="1" outlineLevel="1" collapsed="1" x14ac:dyDescent="0.2">
      <c r="A172" t="s">
        <v>37</v>
      </c>
      <c r="B172" s="4" t="s">
        <v>38</v>
      </c>
      <c r="C172" s="4" t="s">
        <v>462</v>
      </c>
      <c r="D172" s="4" t="s">
        <v>60</v>
      </c>
      <c r="E172" s="4">
        <v>0.29580099999999998</v>
      </c>
      <c r="F172" s="4">
        <v>5.0826200000000004E-3</v>
      </c>
      <c r="G172" s="4">
        <v>1</v>
      </c>
      <c r="H172" s="4">
        <v>1</v>
      </c>
      <c r="I172" s="4">
        <v>1</v>
      </c>
      <c r="J172" s="4">
        <v>1</v>
      </c>
      <c r="K172" s="4" t="s">
        <v>452</v>
      </c>
      <c r="L172" s="4" t="s">
        <v>463</v>
      </c>
      <c r="M172" s="4" t="s">
        <v>37</v>
      </c>
      <c r="N172" s="4">
        <v>0</v>
      </c>
      <c r="O172" s="4">
        <v>2010.9576099999999</v>
      </c>
      <c r="P172" s="4" t="s">
        <v>38</v>
      </c>
      <c r="Q172" s="4" t="s">
        <v>38</v>
      </c>
      <c r="R172" s="4">
        <v>1.3159999999999999E-3</v>
      </c>
      <c r="S172" s="4">
        <v>0.13150000000000001</v>
      </c>
      <c r="T172" s="4">
        <v>3.88</v>
      </c>
    </row>
    <row r="173" spans="1:27" collapsed="1" x14ac:dyDescent="0.2">
      <c r="A173" s="3" t="s">
        <v>27</v>
      </c>
      <c r="B173" s="3" t="s">
        <v>464</v>
      </c>
      <c r="C173" s="3" t="s">
        <v>465</v>
      </c>
      <c r="D173" s="3">
        <v>14</v>
      </c>
      <c r="E173" s="3">
        <v>4</v>
      </c>
      <c r="F173" s="3">
        <v>4</v>
      </c>
      <c r="G173" s="3">
        <v>6</v>
      </c>
      <c r="H173" s="3">
        <v>4</v>
      </c>
      <c r="I173" s="3">
        <v>451</v>
      </c>
      <c r="J173" s="3">
        <v>52.9</v>
      </c>
      <c r="K173" s="3">
        <v>4.6100000000000003</v>
      </c>
      <c r="L173" s="3">
        <v>15</v>
      </c>
      <c r="M173" s="3">
        <v>4</v>
      </c>
      <c r="N173" s="3" t="s">
        <v>120</v>
      </c>
      <c r="O173" s="3" t="s">
        <v>31</v>
      </c>
      <c r="P173" s="3" t="s">
        <v>32</v>
      </c>
      <c r="Q173" s="3" t="s">
        <v>466</v>
      </c>
      <c r="R173" s="3" t="s">
        <v>467</v>
      </c>
      <c r="S173" s="3" t="s">
        <v>468</v>
      </c>
      <c r="T173" s="3" t="s">
        <v>469</v>
      </c>
      <c r="U173" s="3" t="s">
        <v>37</v>
      </c>
      <c r="V173" s="3" t="s">
        <v>37</v>
      </c>
      <c r="W173" s="3" t="s">
        <v>37</v>
      </c>
      <c r="X173" s="3">
        <v>0</v>
      </c>
      <c r="Y173" s="3" t="s">
        <v>38</v>
      </c>
      <c r="Z173" s="3">
        <v>1</v>
      </c>
      <c r="AA173" s="3" t="s">
        <v>37</v>
      </c>
    </row>
    <row r="174" spans="1:27" hidden="1" outlineLevel="1" collapsed="1" x14ac:dyDescent="0.2">
      <c r="A174" t="s">
        <v>37</v>
      </c>
      <c r="B174" s="2" t="s">
        <v>40</v>
      </c>
      <c r="C174" s="2" t="s">
        <v>41</v>
      </c>
      <c r="D174" s="2" t="s">
        <v>26</v>
      </c>
      <c r="E174" s="2" t="s">
        <v>42</v>
      </c>
      <c r="F174" s="2" t="s">
        <v>43</v>
      </c>
      <c r="G174" s="2" t="s">
        <v>25</v>
      </c>
      <c r="H174" s="2" t="s">
        <v>44</v>
      </c>
      <c r="I174" s="2" t="s">
        <v>5</v>
      </c>
      <c r="J174" s="2" t="s">
        <v>6</v>
      </c>
      <c r="K174" s="2" t="s">
        <v>45</v>
      </c>
      <c r="L174" s="2" t="s">
        <v>46</v>
      </c>
      <c r="M174" s="2" t="s">
        <v>47</v>
      </c>
      <c r="N174" s="2" t="s">
        <v>48</v>
      </c>
      <c r="O174" s="2" t="s">
        <v>49</v>
      </c>
      <c r="P174" s="2" t="s">
        <v>24</v>
      </c>
      <c r="Q174" s="2" t="s">
        <v>50</v>
      </c>
      <c r="R174" s="2" t="s">
        <v>51</v>
      </c>
      <c r="S174" s="2" t="s">
        <v>52</v>
      </c>
      <c r="T174" s="2" t="s">
        <v>53</v>
      </c>
    </row>
    <row r="175" spans="1:27" hidden="1" outlineLevel="1" collapsed="1" x14ac:dyDescent="0.2">
      <c r="A175" t="s">
        <v>37</v>
      </c>
      <c r="B175" s="4" t="s">
        <v>38</v>
      </c>
      <c r="C175" s="4" t="s">
        <v>470</v>
      </c>
      <c r="D175" s="4" t="s">
        <v>37</v>
      </c>
      <c r="E175" s="4">
        <v>3.9859899999999997E-2</v>
      </c>
      <c r="F175" s="4">
        <v>5.0826200000000004E-3</v>
      </c>
      <c r="G175" s="4">
        <v>1</v>
      </c>
      <c r="H175" s="4">
        <v>1</v>
      </c>
      <c r="I175" s="4">
        <v>1</v>
      </c>
      <c r="J175" s="4">
        <v>2</v>
      </c>
      <c r="K175" s="4" t="s">
        <v>464</v>
      </c>
      <c r="L175" s="4" t="s">
        <v>471</v>
      </c>
      <c r="M175" s="4" t="s">
        <v>37</v>
      </c>
      <c r="N175" s="4">
        <v>0</v>
      </c>
      <c r="O175" s="4">
        <v>1862.9494299999999</v>
      </c>
      <c r="P175" s="4" t="s">
        <v>38</v>
      </c>
      <c r="Q175" s="4" t="s">
        <v>38</v>
      </c>
      <c r="R175" s="4">
        <v>1.3159999999999999E-3</v>
      </c>
      <c r="S175" s="4">
        <v>7.0349999999999996E-3</v>
      </c>
      <c r="T175" s="4">
        <v>2.76</v>
      </c>
    </row>
    <row r="176" spans="1:27" hidden="1" outlineLevel="1" collapsed="1" x14ac:dyDescent="0.2">
      <c r="A176" t="s">
        <v>37</v>
      </c>
      <c r="B176" s="4" t="s">
        <v>38</v>
      </c>
      <c r="C176" s="4" t="s">
        <v>472</v>
      </c>
      <c r="D176" s="4" t="s">
        <v>37</v>
      </c>
      <c r="E176" s="4">
        <v>0.20657900000000001</v>
      </c>
      <c r="F176" s="4">
        <v>5.0826200000000004E-3</v>
      </c>
      <c r="G176" s="4">
        <v>1</v>
      </c>
      <c r="H176" s="4">
        <v>1</v>
      </c>
      <c r="I176" s="4">
        <v>1</v>
      </c>
      <c r="J176" s="4">
        <v>1</v>
      </c>
      <c r="K176" s="4" t="s">
        <v>464</v>
      </c>
      <c r="L176" s="4" t="s">
        <v>473</v>
      </c>
      <c r="M176" s="4" t="s">
        <v>37</v>
      </c>
      <c r="N176" s="4">
        <v>0</v>
      </c>
      <c r="O176" s="4">
        <v>1105.63642</v>
      </c>
      <c r="P176" s="4" t="s">
        <v>38</v>
      </c>
      <c r="Q176" s="4" t="s">
        <v>38</v>
      </c>
      <c r="R176" s="4">
        <v>1.3159999999999999E-3</v>
      </c>
      <c r="S176" s="4">
        <v>7.6020000000000004E-2</v>
      </c>
      <c r="T176" s="4">
        <v>1.86</v>
      </c>
    </row>
    <row r="177" spans="1:27" hidden="1" outlineLevel="1" collapsed="1" x14ac:dyDescent="0.2">
      <c r="A177" t="s">
        <v>37</v>
      </c>
      <c r="B177" s="4" t="s">
        <v>38</v>
      </c>
      <c r="C177" s="4" t="s">
        <v>474</v>
      </c>
      <c r="D177" s="4" t="s">
        <v>37</v>
      </c>
      <c r="E177" s="4">
        <v>0.16728999999999999</v>
      </c>
      <c r="F177" s="4">
        <v>5.0826200000000004E-3</v>
      </c>
      <c r="G177" s="4">
        <v>1</v>
      </c>
      <c r="H177" s="4">
        <v>1</v>
      </c>
      <c r="I177" s="4">
        <v>1</v>
      </c>
      <c r="J177" s="4">
        <v>1</v>
      </c>
      <c r="K177" s="4" t="s">
        <v>464</v>
      </c>
      <c r="L177" s="4" t="s">
        <v>475</v>
      </c>
      <c r="M177" s="4" t="s">
        <v>37</v>
      </c>
      <c r="N177" s="4">
        <v>0</v>
      </c>
      <c r="O177" s="4">
        <v>1601.7693400000001</v>
      </c>
      <c r="P177" s="4" t="s">
        <v>38</v>
      </c>
      <c r="Q177" s="4" t="s">
        <v>38</v>
      </c>
      <c r="R177" s="4">
        <v>1.3159999999999999E-3</v>
      </c>
      <c r="S177" s="4">
        <v>5.5489999999999998E-2</v>
      </c>
      <c r="T177" s="4">
        <v>1.8</v>
      </c>
    </row>
    <row r="178" spans="1:27" hidden="1" outlineLevel="1" collapsed="1" x14ac:dyDescent="0.2">
      <c r="A178" t="s">
        <v>37</v>
      </c>
      <c r="B178" s="4" t="s">
        <v>38</v>
      </c>
      <c r="C178" s="4" t="s">
        <v>476</v>
      </c>
      <c r="D178" s="4" t="s">
        <v>77</v>
      </c>
      <c r="E178" s="4">
        <v>0.20111200000000001</v>
      </c>
      <c r="F178" s="4">
        <v>5.0826200000000004E-3</v>
      </c>
      <c r="G178" s="4">
        <v>1</v>
      </c>
      <c r="H178" s="4">
        <v>1</v>
      </c>
      <c r="I178" s="4">
        <v>1</v>
      </c>
      <c r="J178" s="4">
        <v>2</v>
      </c>
      <c r="K178" s="4" t="s">
        <v>464</v>
      </c>
      <c r="L178" s="4" t="s">
        <v>477</v>
      </c>
      <c r="M178" s="4" t="s">
        <v>37</v>
      </c>
      <c r="N178" s="4">
        <v>1</v>
      </c>
      <c r="O178" s="4">
        <v>2676.3396499999999</v>
      </c>
      <c r="P178" s="4" t="s">
        <v>38</v>
      </c>
      <c r="Q178" s="4" t="s">
        <v>38</v>
      </c>
      <c r="R178" s="4">
        <v>1.3159999999999999E-3</v>
      </c>
      <c r="S178" s="4">
        <v>7.3080000000000006E-2</v>
      </c>
      <c r="T178" s="4">
        <v>3.4</v>
      </c>
    </row>
    <row r="179" spans="1:27" collapsed="1" x14ac:dyDescent="0.2">
      <c r="A179" s="3" t="s">
        <v>27</v>
      </c>
      <c r="B179" s="3" t="s">
        <v>478</v>
      </c>
      <c r="C179" s="3" t="s">
        <v>479</v>
      </c>
      <c r="D179" s="3">
        <v>6</v>
      </c>
      <c r="E179" s="3">
        <v>1</v>
      </c>
      <c r="F179" s="3">
        <v>1</v>
      </c>
      <c r="G179" s="3">
        <v>5</v>
      </c>
      <c r="H179" s="3">
        <v>1</v>
      </c>
      <c r="I179" s="3">
        <v>201</v>
      </c>
      <c r="J179" s="3">
        <v>23.6</v>
      </c>
      <c r="K179" s="3">
        <v>4.8600000000000003</v>
      </c>
      <c r="L179" s="3">
        <v>14.76</v>
      </c>
      <c r="M179" s="3">
        <v>1</v>
      </c>
      <c r="N179" s="3" t="s">
        <v>428</v>
      </c>
      <c r="O179" s="3" t="s">
        <v>268</v>
      </c>
      <c r="P179" s="3" t="s">
        <v>37</v>
      </c>
      <c r="Q179" s="3" t="s">
        <v>480</v>
      </c>
      <c r="R179" s="3" t="s">
        <v>481</v>
      </c>
      <c r="S179" s="3" t="s">
        <v>482</v>
      </c>
      <c r="T179" s="3" t="s">
        <v>483</v>
      </c>
      <c r="U179" s="3" t="s">
        <v>37</v>
      </c>
      <c r="V179" s="3" t="s">
        <v>37</v>
      </c>
      <c r="W179" s="3" t="s">
        <v>37</v>
      </c>
      <c r="X179" s="3">
        <v>0</v>
      </c>
      <c r="Y179" s="3" t="s">
        <v>38</v>
      </c>
      <c r="Z179" s="3">
        <v>1</v>
      </c>
      <c r="AA179" s="3" t="s">
        <v>37</v>
      </c>
    </row>
    <row r="180" spans="1:27" hidden="1" outlineLevel="1" collapsed="1" x14ac:dyDescent="0.2">
      <c r="A180" t="s">
        <v>37</v>
      </c>
      <c r="B180" s="2" t="s">
        <v>40</v>
      </c>
      <c r="C180" s="2" t="s">
        <v>41</v>
      </c>
      <c r="D180" s="2" t="s">
        <v>26</v>
      </c>
      <c r="E180" s="2" t="s">
        <v>42</v>
      </c>
      <c r="F180" s="2" t="s">
        <v>43</v>
      </c>
      <c r="G180" s="2" t="s">
        <v>25</v>
      </c>
      <c r="H180" s="2" t="s">
        <v>44</v>
      </c>
      <c r="I180" s="2" t="s">
        <v>5</v>
      </c>
      <c r="J180" s="2" t="s">
        <v>6</v>
      </c>
      <c r="K180" s="2" t="s">
        <v>45</v>
      </c>
      <c r="L180" s="2" t="s">
        <v>46</v>
      </c>
      <c r="M180" s="2" t="s">
        <v>47</v>
      </c>
      <c r="N180" s="2" t="s">
        <v>48</v>
      </c>
      <c r="O180" s="2" t="s">
        <v>49</v>
      </c>
      <c r="P180" s="2" t="s">
        <v>24</v>
      </c>
      <c r="Q180" s="2" t="s">
        <v>50</v>
      </c>
      <c r="R180" s="2" t="s">
        <v>51</v>
      </c>
      <c r="S180" s="2" t="s">
        <v>52</v>
      </c>
      <c r="T180" s="2" t="s">
        <v>53</v>
      </c>
    </row>
    <row r="181" spans="1:27" hidden="1" outlineLevel="1" collapsed="1" x14ac:dyDescent="0.2">
      <c r="A181" t="s">
        <v>37</v>
      </c>
      <c r="B181" s="4" t="s">
        <v>38</v>
      </c>
      <c r="C181" s="4" t="s">
        <v>484</v>
      </c>
      <c r="D181" s="4" t="s">
        <v>37</v>
      </c>
      <c r="E181" s="4">
        <v>2.5776400000000001E-2</v>
      </c>
      <c r="F181" s="4">
        <v>5.0826200000000004E-3</v>
      </c>
      <c r="G181" s="4">
        <v>1</v>
      </c>
      <c r="H181" s="4">
        <v>1</v>
      </c>
      <c r="I181" s="4">
        <v>1</v>
      </c>
      <c r="J181" s="4">
        <v>5</v>
      </c>
      <c r="K181" s="4" t="s">
        <v>478</v>
      </c>
      <c r="L181" s="4" t="s">
        <v>485</v>
      </c>
      <c r="M181" s="4" t="s">
        <v>37</v>
      </c>
      <c r="N181" s="4">
        <v>0</v>
      </c>
      <c r="O181" s="4">
        <v>1399.7678900000001</v>
      </c>
      <c r="P181" s="4" t="s">
        <v>38</v>
      </c>
      <c r="Q181" s="4" t="s">
        <v>38</v>
      </c>
      <c r="R181" s="4">
        <v>1.3159999999999999E-3</v>
      </c>
      <c r="S181" s="4">
        <v>3.7980000000000002E-3</v>
      </c>
      <c r="T181" s="4">
        <v>3.47</v>
      </c>
    </row>
    <row r="182" spans="1:27" collapsed="1" x14ac:dyDescent="0.2">
      <c r="A182" s="3" t="s">
        <v>27</v>
      </c>
      <c r="B182" s="3" t="s">
        <v>486</v>
      </c>
      <c r="C182" s="3" t="s">
        <v>487</v>
      </c>
      <c r="D182" s="3">
        <v>9</v>
      </c>
      <c r="E182" s="3">
        <v>3</v>
      </c>
      <c r="F182" s="3">
        <v>3</v>
      </c>
      <c r="G182" s="3">
        <v>6</v>
      </c>
      <c r="H182" s="3">
        <v>3</v>
      </c>
      <c r="I182" s="3">
        <v>500</v>
      </c>
      <c r="J182" s="3">
        <v>54.5</v>
      </c>
      <c r="K182" s="3">
        <v>7.68</v>
      </c>
      <c r="L182" s="3">
        <v>14.55</v>
      </c>
      <c r="M182" s="3">
        <v>3</v>
      </c>
      <c r="N182" s="3" t="s">
        <v>488</v>
      </c>
      <c r="O182" s="3" t="s">
        <v>489</v>
      </c>
      <c r="P182" s="3" t="s">
        <v>490</v>
      </c>
      <c r="Q182" s="3" t="s">
        <v>491</v>
      </c>
      <c r="R182" s="3" t="s">
        <v>492</v>
      </c>
      <c r="S182" s="3" t="s">
        <v>493</v>
      </c>
      <c r="T182" s="3" t="s">
        <v>494</v>
      </c>
      <c r="U182" s="3" t="s">
        <v>495</v>
      </c>
      <c r="V182" s="3" t="s">
        <v>37</v>
      </c>
      <c r="W182" s="3" t="s">
        <v>37</v>
      </c>
      <c r="X182" s="3">
        <v>2</v>
      </c>
      <c r="Y182" s="3" t="s">
        <v>38</v>
      </c>
      <c r="Z182" s="3">
        <v>1</v>
      </c>
      <c r="AA182" s="3" t="s">
        <v>37</v>
      </c>
    </row>
    <row r="183" spans="1:27" hidden="1" outlineLevel="1" collapsed="1" x14ac:dyDescent="0.2">
      <c r="A183" t="s">
        <v>37</v>
      </c>
      <c r="B183" s="2" t="s">
        <v>40</v>
      </c>
      <c r="C183" s="2" t="s">
        <v>41</v>
      </c>
      <c r="D183" s="2" t="s">
        <v>26</v>
      </c>
      <c r="E183" s="2" t="s">
        <v>42</v>
      </c>
      <c r="F183" s="2" t="s">
        <v>43</v>
      </c>
      <c r="G183" s="2" t="s">
        <v>25</v>
      </c>
      <c r="H183" s="2" t="s">
        <v>44</v>
      </c>
      <c r="I183" s="2" t="s">
        <v>5</v>
      </c>
      <c r="J183" s="2" t="s">
        <v>6</v>
      </c>
      <c r="K183" s="2" t="s">
        <v>45</v>
      </c>
      <c r="L183" s="2" t="s">
        <v>46</v>
      </c>
      <c r="M183" s="2" t="s">
        <v>47</v>
      </c>
      <c r="N183" s="2" t="s">
        <v>48</v>
      </c>
      <c r="O183" s="2" t="s">
        <v>49</v>
      </c>
      <c r="P183" s="2" t="s">
        <v>24</v>
      </c>
      <c r="Q183" s="2" t="s">
        <v>50</v>
      </c>
      <c r="R183" s="2" t="s">
        <v>51</v>
      </c>
      <c r="S183" s="2" t="s">
        <v>52</v>
      </c>
      <c r="T183" s="2" t="s">
        <v>53</v>
      </c>
    </row>
    <row r="184" spans="1:27" hidden="1" outlineLevel="1" collapsed="1" x14ac:dyDescent="0.2">
      <c r="A184" t="s">
        <v>37</v>
      </c>
      <c r="B184" s="4" t="s">
        <v>38</v>
      </c>
      <c r="C184" s="4" t="s">
        <v>496</v>
      </c>
      <c r="D184" s="4" t="s">
        <v>37</v>
      </c>
      <c r="E184" s="4">
        <v>0.113096</v>
      </c>
      <c r="F184" s="4">
        <v>5.0826200000000004E-3</v>
      </c>
      <c r="G184" s="4">
        <v>1</v>
      </c>
      <c r="H184" s="4">
        <v>1</v>
      </c>
      <c r="I184" s="4">
        <v>1</v>
      </c>
      <c r="J184" s="4">
        <v>2</v>
      </c>
      <c r="K184" s="4" t="s">
        <v>486</v>
      </c>
      <c r="L184" s="4" t="s">
        <v>497</v>
      </c>
      <c r="M184" s="4" t="s">
        <v>37</v>
      </c>
      <c r="N184" s="4">
        <v>0</v>
      </c>
      <c r="O184" s="4">
        <v>1315.7579900000001</v>
      </c>
      <c r="P184" s="4" t="s">
        <v>38</v>
      </c>
      <c r="Q184" s="4" t="s">
        <v>38</v>
      </c>
      <c r="R184" s="4">
        <v>1.3159999999999999E-3</v>
      </c>
      <c r="S184" s="4">
        <v>3.1260000000000003E-2</v>
      </c>
      <c r="T184" s="4">
        <v>2.6</v>
      </c>
    </row>
    <row r="185" spans="1:27" hidden="1" outlineLevel="1" collapsed="1" x14ac:dyDescent="0.2">
      <c r="A185" t="s">
        <v>37</v>
      </c>
      <c r="B185" s="4" t="s">
        <v>38</v>
      </c>
      <c r="C185" s="4" t="s">
        <v>498</v>
      </c>
      <c r="D185" s="4" t="s">
        <v>37</v>
      </c>
      <c r="E185" s="4">
        <v>0.23519300000000001</v>
      </c>
      <c r="F185" s="4">
        <v>5.0826200000000004E-3</v>
      </c>
      <c r="G185" s="4">
        <v>1</v>
      </c>
      <c r="H185" s="4">
        <v>1</v>
      </c>
      <c r="I185" s="4">
        <v>1</v>
      </c>
      <c r="J185" s="4">
        <v>2</v>
      </c>
      <c r="K185" s="4" t="s">
        <v>486</v>
      </c>
      <c r="L185" s="4" t="s">
        <v>499</v>
      </c>
      <c r="M185" s="4" t="s">
        <v>37</v>
      </c>
      <c r="N185" s="4">
        <v>0</v>
      </c>
      <c r="O185" s="4">
        <v>1748.97928</v>
      </c>
      <c r="P185" s="4" t="s">
        <v>38</v>
      </c>
      <c r="Q185" s="4" t="s">
        <v>38</v>
      </c>
      <c r="R185" s="4">
        <v>1.3159999999999999E-3</v>
      </c>
      <c r="S185" s="4">
        <v>9.2450000000000004E-2</v>
      </c>
      <c r="T185" s="4">
        <v>2.88</v>
      </c>
    </row>
    <row r="186" spans="1:27" hidden="1" outlineLevel="1" collapsed="1" x14ac:dyDescent="0.2">
      <c r="A186" t="s">
        <v>37</v>
      </c>
      <c r="B186" s="4" t="s">
        <v>38</v>
      </c>
      <c r="C186" s="4" t="s">
        <v>500</v>
      </c>
      <c r="D186" s="4" t="s">
        <v>37</v>
      </c>
      <c r="E186" s="4">
        <v>0.16375100000000001</v>
      </c>
      <c r="F186" s="4">
        <v>5.0826200000000004E-3</v>
      </c>
      <c r="G186" s="4">
        <v>1</v>
      </c>
      <c r="H186" s="4">
        <v>1</v>
      </c>
      <c r="I186" s="4">
        <v>1</v>
      </c>
      <c r="J186" s="4">
        <v>2</v>
      </c>
      <c r="K186" s="4" t="s">
        <v>486</v>
      </c>
      <c r="L186" s="4" t="s">
        <v>501</v>
      </c>
      <c r="M186" s="4" t="s">
        <v>37</v>
      </c>
      <c r="N186" s="4">
        <v>0</v>
      </c>
      <c r="O186" s="4">
        <v>1344.7481499999999</v>
      </c>
      <c r="P186" s="4" t="s">
        <v>38</v>
      </c>
      <c r="Q186" s="4" t="s">
        <v>38</v>
      </c>
      <c r="R186" s="4">
        <v>1.3159999999999999E-3</v>
      </c>
      <c r="S186" s="4">
        <v>5.3699999999999998E-2</v>
      </c>
      <c r="T186" s="4">
        <v>2.09</v>
      </c>
    </row>
    <row r="187" spans="1:27" collapsed="1" x14ac:dyDescent="0.2">
      <c r="A187" s="3" t="s">
        <v>27</v>
      </c>
      <c r="B187" s="3" t="s">
        <v>502</v>
      </c>
      <c r="C187" s="3" t="s">
        <v>503</v>
      </c>
      <c r="D187" s="3">
        <v>15</v>
      </c>
      <c r="E187" s="3">
        <v>2</v>
      </c>
      <c r="F187" s="3">
        <v>2</v>
      </c>
      <c r="G187" s="3">
        <v>5</v>
      </c>
      <c r="H187" s="3">
        <v>2</v>
      </c>
      <c r="I187" s="3">
        <v>216</v>
      </c>
      <c r="J187" s="3">
        <v>25.4</v>
      </c>
      <c r="K187" s="3">
        <v>4.82</v>
      </c>
      <c r="L187" s="3">
        <v>13.86</v>
      </c>
      <c r="M187" s="3">
        <v>2</v>
      </c>
      <c r="N187" s="3" t="s">
        <v>120</v>
      </c>
      <c r="O187" s="3" t="s">
        <v>31</v>
      </c>
      <c r="P187" s="3" t="s">
        <v>37</v>
      </c>
      <c r="Q187" s="3" t="s">
        <v>504</v>
      </c>
      <c r="R187" s="3" t="s">
        <v>505</v>
      </c>
      <c r="S187" s="3" t="s">
        <v>506</v>
      </c>
      <c r="T187" s="3" t="s">
        <v>507</v>
      </c>
      <c r="U187" s="3" t="s">
        <v>37</v>
      </c>
      <c r="V187" s="3" t="s">
        <v>37</v>
      </c>
      <c r="W187" s="3" t="s">
        <v>37</v>
      </c>
      <c r="X187" s="3">
        <v>0</v>
      </c>
      <c r="Y187" s="3" t="s">
        <v>38</v>
      </c>
      <c r="Z187" s="3">
        <v>1</v>
      </c>
      <c r="AA187" s="3" t="s">
        <v>37</v>
      </c>
    </row>
    <row r="188" spans="1:27" hidden="1" outlineLevel="1" collapsed="1" x14ac:dyDescent="0.2">
      <c r="A188" t="s">
        <v>37</v>
      </c>
      <c r="B188" s="2" t="s">
        <v>40</v>
      </c>
      <c r="C188" s="2" t="s">
        <v>41</v>
      </c>
      <c r="D188" s="2" t="s">
        <v>26</v>
      </c>
      <c r="E188" s="2" t="s">
        <v>42</v>
      </c>
      <c r="F188" s="2" t="s">
        <v>43</v>
      </c>
      <c r="G188" s="2" t="s">
        <v>25</v>
      </c>
      <c r="H188" s="2" t="s">
        <v>44</v>
      </c>
      <c r="I188" s="2" t="s">
        <v>5</v>
      </c>
      <c r="J188" s="2" t="s">
        <v>6</v>
      </c>
      <c r="K188" s="2" t="s">
        <v>45</v>
      </c>
      <c r="L188" s="2" t="s">
        <v>46</v>
      </c>
      <c r="M188" s="2" t="s">
        <v>47</v>
      </c>
      <c r="N188" s="2" t="s">
        <v>48</v>
      </c>
      <c r="O188" s="2" t="s">
        <v>49</v>
      </c>
      <c r="P188" s="2" t="s">
        <v>24</v>
      </c>
      <c r="Q188" s="2" t="s">
        <v>50</v>
      </c>
      <c r="R188" s="2" t="s">
        <v>51</v>
      </c>
      <c r="S188" s="2" t="s">
        <v>52</v>
      </c>
      <c r="T188" s="2" t="s">
        <v>53</v>
      </c>
    </row>
    <row r="189" spans="1:27" hidden="1" outlineLevel="1" collapsed="1" x14ac:dyDescent="0.2">
      <c r="A189" t="s">
        <v>37</v>
      </c>
      <c r="B189" s="4" t="s">
        <v>38</v>
      </c>
      <c r="C189" s="4" t="s">
        <v>508</v>
      </c>
      <c r="D189" s="4" t="s">
        <v>37</v>
      </c>
      <c r="E189" s="4">
        <v>8.7115700000000004E-2</v>
      </c>
      <c r="F189" s="4">
        <v>5.0826200000000004E-3</v>
      </c>
      <c r="G189" s="4">
        <v>1</v>
      </c>
      <c r="H189" s="4">
        <v>1</v>
      </c>
      <c r="I189" s="4">
        <v>1</v>
      </c>
      <c r="J189" s="4">
        <v>2</v>
      </c>
      <c r="K189" s="4" t="s">
        <v>502</v>
      </c>
      <c r="L189" s="4" t="s">
        <v>509</v>
      </c>
      <c r="M189" s="4" t="s">
        <v>37</v>
      </c>
      <c r="N189" s="4">
        <v>0</v>
      </c>
      <c r="O189" s="4">
        <v>2253.1033699999998</v>
      </c>
      <c r="P189" s="4" t="s">
        <v>38</v>
      </c>
      <c r="Q189" s="4" t="s">
        <v>38</v>
      </c>
      <c r="R189" s="4">
        <v>1.3159999999999999E-3</v>
      </c>
      <c r="S189" s="4">
        <v>2.145E-2</v>
      </c>
      <c r="T189" s="4">
        <v>2.44</v>
      </c>
    </row>
    <row r="190" spans="1:27" hidden="1" outlineLevel="1" collapsed="1" x14ac:dyDescent="0.2">
      <c r="A190" t="s">
        <v>37</v>
      </c>
      <c r="B190" s="4" t="s">
        <v>38</v>
      </c>
      <c r="C190" s="4" t="s">
        <v>510</v>
      </c>
      <c r="D190" s="4" t="s">
        <v>511</v>
      </c>
      <c r="E190" s="4">
        <v>8.0135799999999993E-2</v>
      </c>
      <c r="F190" s="4">
        <v>5.0826200000000004E-3</v>
      </c>
      <c r="G190" s="4">
        <v>1</v>
      </c>
      <c r="H190" s="4">
        <v>1</v>
      </c>
      <c r="I190" s="4">
        <v>1</v>
      </c>
      <c r="J190" s="4">
        <v>3</v>
      </c>
      <c r="K190" s="4" t="s">
        <v>502</v>
      </c>
      <c r="L190" s="4" t="s">
        <v>512</v>
      </c>
      <c r="M190" s="4" t="s">
        <v>37</v>
      </c>
      <c r="N190" s="4">
        <v>0</v>
      </c>
      <c r="O190" s="4">
        <v>1784.8159800000001</v>
      </c>
      <c r="P190" s="4" t="s">
        <v>38</v>
      </c>
      <c r="Q190" s="4" t="s">
        <v>38</v>
      </c>
      <c r="R190" s="4">
        <v>1.3159999999999999E-3</v>
      </c>
      <c r="S190" s="4">
        <v>1.8970000000000001E-2</v>
      </c>
      <c r="T190" s="4">
        <v>3.44</v>
      </c>
    </row>
    <row r="191" spans="1:27" collapsed="1" x14ac:dyDescent="0.2">
      <c r="A191" s="3" t="s">
        <v>27</v>
      </c>
      <c r="B191" s="3" t="s">
        <v>513</v>
      </c>
      <c r="C191" s="3" t="s">
        <v>514</v>
      </c>
      <c r="D191" s="3">
        <v>12</v>
      </c>
      <c r="E191" s="3">
        <v>2</v>
      </c>
      <c r="F191" s="3">
        <v>2</v>
      </c>
      <c r="G191" s="3">
        <v>4</v>
      </c>
      <c r="H191" s="3">
        <v>2</v>
      </c>
      <c r="I191" s="3">
        <v>289</v>
      </c>
      <c r="J191" s="3">
        <v>33.200000000000003</v>
      </c>
      <c r="K191" s="3">
        <v>5.24</v>
      </c>
      <c r="L191" s="3">
        <v>13.07</v>
      </c>
      <c r="M191" s="3">
        <v>2</v>
      </c>
      <c r="N191" s="3" t="s">
        <v>120</v>
      </c>
      <c r="O191" s="3" t="s">
        <v>31</v>
      </c>
      <c r="P191" s="3" t="s">
        <v>37</v>
      </c>
      <c r="Q191" s="3" t="s">
        <v>515</v>
      </c>
      <c r="R191" s="3" t="s">
        <v>516</v>
      </c>
      <c r="S191" s="3" t="s">
        <v>517</v>
      </c>
      <c r="T191" s="3" t="s">
        <v>518</v>
      </c>
      <c r="U191" s="3" t="s">
        <v>37</v>
      </c>
      <c r="V191" s="3" t="s">
        <v>37</v>
      </c>
      <c r="W191" s="3" t="s">
        <v>37</v>
      </c>
      <c r="X191" s="3">
        <v>0</v>
      </c>
      <c r="Y191" s="3" t="s">
        <v>38</v>
      </c>
      <c r="Z191" s="3">
        <v>1</v>
      </c>
      <c r="AA191" s="3" t="s">
        <v>37</v>
      </c>
    </row>
    <row r="192" spans="1:27" hidden="1" outlineLevel="1" collapsed="1" x14ac:dyDescent="0.2">
      <c r="A192" t="s">
        <v>37</v>
      </c>
      <c r="B192" s="2" t="s">
        <v>40</v>
      </c>
      <c r="C192" s="2" t="s">
        <v>41</v>
      </c>
      <c r="D192" s="2" t="s">
        <v>26</v>
      </c>
      <c r="E192" s="2" t="s">
        <v>42</v>
      </c>
      <c r="F192" s="2" t="s">
        <v>43</v>
      </c>
      <c r="G192" s="2" t="s">
        <v>25</v>
      </c>
      <c r="H192" s="2" t="s">
        <v>44</v>
      </c>
      <c r="I192" s="2" t="s">
        <v>5</v>
      </c>
      <c r="J192" s="2" t="s">
        <v>6</v>
      </c>
      <c r="K192" s="2" t="s">
        <v>45</v>
      </c>
      <c r="L192" s="2" t="s">
        <v>46</v>
      </c>
      <c r="M192" s="2" t="s">
        <v>47</v>
      </c>
      <c r="N192" s="2" t="s">
        <v>48</v>
      </c>
      <c r="O192" s="2" t="s">
        <v>49</v>
      </c>
      <c r="P192" s="2" t="s">
        <v>24</v>
      </c>
      <c r="Q192" s="2" t="s">
        <v>50</v>
      </c>
      <c r="R192" s="2" t="s">
        <v>51</v>
      </c>
      <c r="S192" s="2" t="s">
        <v>52</v>
      </c>
      <c r="T192" s="2" t="s">
        <v>53</v>
      </c>
    </row>
    <row r="193" spans="1:27" hidden="1" outlineLevel="1" collapsed="1" x14ac:dyDescent="0.2">
      <c r="A193" t="s">
        <v>37</v>
      </c>
      <c r="B193" s="4" t="s">
        <v>38</v>
      </c>
      <c r="C193" s="4" t="s">
        <v>519</v>
      </c>
      <c r="D193" s="4" t="s">
        <v>37</v>
      </c>
      <c r="E193" s="4">
        <v>1.41069E-2</v>
      </c>
      <c r="F193" s="4">
        <v>5.0826200000000004E-3</v>
      </c>
      <c r="G193" s="4">
        <v>1</v>
      </c>
      <c r="H193" s="4">
        <v>1</v>
      </c>
      <c r="I193" s="4">
        <v>1</v>
      </c>
      <c r="J193" s="4">
        <v>3</v>
      </c>
      <c r="K193" s="4" t="s">
        <v>513</v>
      </c>
      <c r="L193" s="4" t="s">
        <v>520</v>
      </c>
      <c r="M193" s="4" t="s">
        <v>37</v>
      </c>
      <c r="N193" s="4">
        <v>0</v>
      </c>
      <c r="O193" s="4">
        <v>1465.73217</v>
      </c>
      <c r="P193" s="4" t="s">
        <v>38</v>
      </c>
      <c r="Q193" s="4" t="s">
        <v>38</v>
      </c>
      <c r="R193" s="4">
        <v>1.3159999999999999E-3</v>
      </c>
      <c r="S193" s="4">
        <v>1.6280000000000001E-3</v>
      </c>
      <c r="T193" s="4">
        <v>3.3</v>
      </c>
    </row>
    <row r="194" spans="1:27" hidden="1" outlineLevel="1" collapsed="1" x14ac:dyDescent="0.2">
      <c r="A194" t="s">
        <v>37</v>
      </c>
      <c r="B194" s="4" t="s">
        <v>38</v>
      </c>
      <c r="C194" s="4" t="s">
        <v>521</v>
      </c>
      <c r="D194" s="4" t="s">
        <v>37</v>
      </c>
      <c r="E194" s="4">
        <v>7.6110200000000003E-2</v>
      </c>
      <c r="F194" s="4">
        <v>5.0826200000000004E-3</v>
      </c>
      <c r="G194" s="4">
        <v>1</v>
      </c>
      <c r="H194" s="4">
        <v>1</v>
      </c>
      <c r="I194" s="4">
        <v>1</v>
      </c>
      <c r="J194" s="4">
        <v>1</v>
      </c>
      <c r="K194" s="4" t="s">
        <v>513</v>
      </c>
      <c r="L194" s="4" t="s">
        <v>522</v>
      </c>
      <c r="M194" s="4" t="s">
        <v>37</v>
      </c>
      <c r="N194" s="4">
        <v>0</v>
      </c>
      <c r="O194" s="4">
        <v>2511.2712200000001</v>
      </c>
      <c r="P194" s="4" t="s">
        <v>38</v>
      </c>
      <c r="Q194" s="4" t="s">
        <v>38</v>
      </c>
      <c r="R194" s="4">
        <v>1.3159999999999999E-3</v>
      </c>
      <c r="S194" s="4">
        <v>1.7639999999999999E-2</v>
      </c>
      <c r="T194" s="4">
        <v>3.97</v>
      </c>
    </row>
    <row r="195" spans="1:27" collapsed="1" x14ac:dyDescent="0.2">
      <c r="A195" s="3" t="s">
        <v>27</v>
      </c>
      <c r="B195" s="3" t="s">
        <v>523</v>
      </c>
      <c r="C195" s="3" t="s">
        <v>524</v>
      </c>
      <c r="D195" s="3">
        <v>12</v>
      </c>
      <c r="E195" s="3">
        <v>1</v>
      </c>
      <c r="F195" s="3">
        <v>1</v>
      </c>
      <c r="G195" s="3">
        <v>5</v>
      </c>
      <c r="H195" s="3">
        <v>1</v>
      </c>
      <c r="I195" s="3">
        <v>103</v>
      </c>
      <c r="J195" s="3">
        <v>11.4</v>
      </c>
      <c r="K195" s="3">
        <v>11.36</v>
      </c>
      <c r="L195" s="3">
        <v>11.85</v>
      </c>
      <c r="M195" s="3">
        <v>1</v>
      </c>
      <c r="N195" s="3" t="s">
        <v>525</v>
      </c>
      <c r="O195" s="3" t="s">
        <v>268</v>
      </c>
      <c r="P195" s="3" t="s">
        <v>526</v>
      </c>
      <c r="Q195" s="3" t="s">
        <v>527</v>
      </c>
      <c r="R195" s="3" t="s">
        <v>528</v>
      </c>
      <c r="S195" s="3" t="s">
        <v>529</v>
      </c>
      <c r="T195" s="3" t="s">
        <v>530</v>
      </c>
      <c r="U195" s="3" t="s">
        <v>531</v>
      </c>
      <c r="V195" s="3" t="s">
        <v>37</v>
      </c>
      <c r="W195" s="3" t="s">
        <v>37</v>
      </c>
      <c r="X195" s="3">
        <v>12</v>
      </c>
      <c r="Y195" s="3" t="s">
        <v>38</v>
      </c>
      <c r="Z195" s="3">
        <v>1</v>
      </c>
      <c r="AA195" s="3" t="s">
        <v>37</v>
      </c>
    </row>
    <row r="196" spans="1:27" hidden="1" outlineLevel="1" collapsed="1" x14ac:dyDescent="0.2">
      <c r="A196" t="s">
        <v>37</v>
      </c>
      <c r="B196" s="2" t="s">
        <v>40</v>
      </c>
      <c r="C196" s="2" t="s">
        <v>41</v>
      </c>
      <c r="D196" s="2" t="s">
        <v>26</v>
      </c>
      <c r="E196" s="2" t="s">
        <v>42</v>
      </c>
      <c r="F196" s="2" t="s">
        <v>43</v>
      </c>
      <c r="G196" s="2" t="s">
        <v>25</v>
      </c>
      <c r="H196" s="2" t="s">
        <v>44</v>
      </c>
      <c r="I196" s="2" t="s">
        <v>5</v>
      </c>
      <c r="J196" s="2" t="s">
        <v>6</v>
      </c>
      <c r="K196" s="2" t="s">
        <v>45</v>
      </c>
      <c r="L196" s="2" t="s">
        <v>46</v>
      </c>
      <c r="M196" s="2" t="s">
        <v>47</v>
      </c>
      <c r="N196" s="2" t="s">
        <v>48</v>
      </c>
      <c r="O196" s="2" t="s">
        <v>49</v>
      </c>
      <c r="P196" s="2" t="s">
        <v>24</v>
      </c>
      <c r="Q196" s="2" t="s">
        <v>50</v>
      </c>
      <c r="R196" s="2" t="s">
        <v>51</v>
      </c>
      <c r="S196" s="2" t="s">
        <v>52</v>
      </c>
      <c r="T196" s="2" t="s">
        <v>53</v>
      </c>
    </row>
    <row r="197" spans="1:27" hidden="1" outlineLevel="1" collapsed="1" x14ac:dyDescent="0.2">
      <c r="A197" t="s">
        <v>37</v>
      </c>
      <c r="B197" s="4" t="s">
        <v>38</v>
      </c>
      <c r="C197" s="4" t="s">
        <v>532</v>
      </c>
      <c r="D197" s="4" t="s">
        <v>37</v>
      </c>
      <c r="E197" s="4">
        <v>4.6927200000000002E-2</v>
      </c>
      <c r="F197" s="4">
        <v>5.0826200000000004E-3</v>
      </c>
      <c r="G197" s="4">
        <v>1</v>
      </c>
      <c r="H197" s="4">
        <v>1</v>
      </c>
      <c r="I197" s="4">
        <v>1</v>
      </c>
      <c r="J197" s="4">
        <v>5</v>
      </c>
      <c r="K197" s="4" t="s">
        <v>523</v>
      </c>
      <c r="L197" s="4" t="s">
        <v>533</v>
      </c>
      <c r="M197" s="4" t="s">
        <v>37</v>
      </c>
      <c r="N197" s="4">
        <v>0</v>
      </c>
      <c r="O197" s="4">
        <v>1308.7409399999999</v>
      </c>
      <c r="P197" s="4" t="s">
        <v>38</v>
      </c>
      <c r="Q197" s="4" t="s">
        <v>38</v>
      </c>
      <c r="R197" s="4">
        <v>1.3159999999999999E-3</v>
      </c>
      <c r="S197" s="4">
        <v>8.8830000000000003E-3</v>
      </c>
      <c r="T197" s="4">
        <v>2.77</v>
      </c>
    </row>
    <row r="198" spans="1:27" collapsed="1" x14ac:dyDescent="0.2">
      <c r="A198" s="3" t="s">
        <v>27</v>
      </c>
      <c r="B198" s="3" t="s">
        <v>534</v>
      </c>
      <c r="C198" s="3" t="s">
        <v>535</v>
      </c>
      <c r="D198" s="3">
        <v>3</v>
      </c>
      <c r="E198" s="3">
        <v>2</v>
      </c>
      <c r="F198" s="3">
        <v>2</v>
      </c>
      <c r="G198" s="3">
        <v>5</v>
      </c>
      <c r="H198" s="3">
        <v>2</v>
      </c>
      <c r="I198" s="3">
        <v>638</v>
      </c>
      <c r="J198" s="3">
        <v>65.8</v>
      </c>
      <c r="K198" s="3">
        <v>8.1199999999999992</v>
      </c>
      <c r="L198" s="3">
        <v>11.72</v>
      </c>
      <c r="M198" s="3">
        <v>2</v>
      </c>
      <c r="N198" s="3" t="s">
        <v>37</v>
      </c>
      <c r="O198" s="3" t="s">
        <v>37</v>
      </c>
      <c r="P198" s="3" t="s">
        <v>37</v>
      </c>
      <c r="Q198" s="3" t="s">
        <v>37</v>
      </c>
      <c r="R198" s="3" t="s">
        <v>37</v>
      </c>
      <c r="S198" s="3" t="s">
        <v>37</v>
      </c>
      <c r="T198" s="3" t="s">
        <v>534</v>
      </c>
      <c r="U198" s="3" t="s">
        <v>37</v>
      </c>
      <c r="V198" s="3" t="s">
        <v>37</v>
      </c>
      <c r="W198" s="3" t="s">
        <v>37</v>
      </c>
      <c r="X198" s="3">
        <v>0</v>
      </c>
      <c r="Y198" s="3" t="s">
        <v>38</v>
      </c>
      <c r="Z198" s="3">
        <v>1</v>
      </c>
      <c r="AA198" s="3" t="s">
        <v>37</v>
      </c>
    </row>
    <row r="199" spans="1:27" hidden="1" outlineLevel="1" collapsed="1" x14ac:dyDescent="0.2">
      <c r="A199" t="s">
        <v>37</v>
      </c>
      <c r="B199" s="2" t="s">
        <v>40</v>
      </c>
      <c r="C199" s="2" t="s">
        <v>41</v>
      </c>
      <c r="D199" s="2" t="s">
        <v>26</v>
      </c>
      <c r="E199" s="2" t="s">
        <v>42</v>
      </c>
      <c r="F199" s="2" t="s">
        <v>43</v>
      </c>
      <c r="G199" s="2" t="s">
        <v>25</v>
      </c>
      <c r="H199" s="2" t="s">
        <v>44</v>
      </c>
      <c r="I199" s="2" t="s">
        <v>5</v>
      </c>
      <c r="J199" s="2" t="s">
        <v>6</v>
      </c>
      <c r="K199" s="2" t="s">
        <v>45</v>
      </c>
      <c r="L199" s="2" t="s">
        <v>46</v>
      </c>
      <c r="M199" s="2" t="s">
        <v>47</v>
      </c>
      <c r="N199" s="2" t="s">
        <v>48</v>
      </c>
      <c r="O199" s="2" t="s">
        <v>49</v>
      </c>
      <c r="P199" s="2" t="s">
        <v>24</v>
      </c>
      <c r="Q199" s="2" t="s">
        <v>50</v>
      </c>
      <c r="R199" s="2" t="s">
        <v>51</v>
      </c>
      <c r="S199" s="2" t="s">
        <v>52</v>
      </c>
      <c r="T199" s="2" t="s">
        <v>53</v>
      </c>
    </row>
    <row r="200" spans="1:27" hidden="1" outlineLevel="1" collapsed="1" x14ac:dyDescent="0.2">
      <c r="A200" t="s">
        <v>37</v>
      </c>
      <c r="B200" s="4" t="s">
        <v>38</v>
      </c>
      <c r="C200" s="4" t="s">
        <v>536</v>
      </c>
      <c r="D200" s="4" t="s">
        <v>37</v>
      </c>
      <c r="E200" s="4">
        <v>0.10449</v>
      </c>
      <c r="F200" s="4">
        <v>5.0826200000000004E-3</v>
      </c>
      <c r="G200" s="4">
        <v>1</v>
      </c>
      <c r="H200" s="4">
        <v>11</v>
      </c>
      <c r="I200" s="4">
        <v>1</v>
      </c>
      <c r="J200" s="4">
        <v>4</v>
      </c>
      <c r="K200" s="4" t="s">
        <v>534</v>
      </c>
      <c r="L200" s="4" t="s">
        <v>537</v>
      </c>
      <c r="M200" s="4" t="s">
        <v>37</v>
      </c>
      <c r="N200" s="4">
        <v>0</v>
      </c>
      <c r="O200" s="4">
        <v>1263.69433</v>
      </c>
      <c r="P200" s="4" t="s">
        <v>38</v>
      </c>
      <c r="Q200" s="4" t="s">
        <v>38</v>
      </c>
      <c r="R200" s="4">
        <v>1.3159999999999999E-3</v>
      </c>
      <c r="S200" s="4">
        <v>2.7890000000000002E-2</v>
      </c>
      <c r="T200" s="4">
        <v>3.31</v>
      </c>
    </row>
    <row r="201" spans="1:27" hidden="1" outlineLevel="1" collapsed="1" x14ac:dyDescent="0.2">
      <c r="A201" t="s">
        <v>37</v>
      </c>
      <c r="B201" s="4" t="s">
        <v>38</v>
      </c>
      <c r="C201" s="4" t="s">
        <v>538</v>
      </c>
      <c r="D201" s="4" t="s">
        <v>37</v>
      </c>
      <c r="E201" s="4">
        <v>0.33226699999999998</v>
      </c>
      <c r="F201" s="4">
        <v>5.0826200000000004E-3</v>
      </c>
      <c r="G201" s="4">
        <v>1</v>
      </c>
      <c r="H201" s="4">
        <v>2</v>
      </c>
      <c r="I201" s="4">
        <v>1</v>
      </c>
      <c r="J201" s="4">
        <v>1</v>
      </c>
      <c r="K201" s="4" t="s">
        <v>534</v>
      </c>
      <c r="L201" s="4" t="s">
        <v>539</v>
      </c>
      <c r="M201" s="4" t="s">
        <v>37</v>
      </c>
      <c r="N201" s="4">
        <v>0</v>
      </c>
      <c r="O201" s="4">
        <v>1045.5636500000001</v>
      </c>
      <c r="P201" s="4" t="s">
        <v>38</v>
      </c>
      <c r="Q201" s="4" t="s">
        <v>38</v>
      </c>
      <c r="R201" s="4">
        <v>1.3159999999999999E-3</v>
      </c>
      <c r="S201" s="4">
        <v>0.1578</v>
      </c>
      <c r="T201" s="4">
        <v>1.03</v>
      </c>
    </row>
    <row r="202" spans="1:27" collapsed="1" x14ac:dyDescent="0.2">
      <c r="A202" s="3" t="s">
        <v>27</v>
      </c>
      <c r="B202" s="3" t="s">
        <v>540</v>
      </c>
      <c r="C202" s="3" t="s">
        <v>541</v>
      </c>
      <c r="D202" s="3">
        <v>12</v>
      </c>
      <c r="E202" s="3">
        <v>2</v>
      </c>
      <c r="F202" s="3">
        <v>2</v>
      </c>
      <c r="G202" s="3">
        <v>4</v>
      </c>
      <c r="H202" s="3">
        <v>2</v>
      </c>
      <c r="I202" s="3">
        <v>332</v>
      </c>
      <c r="J202" s="3">
        <v>35.700000000000003</v>
      </c>
      <c r="K202" s="3">
        <v>6.96</v>
      </c>
      <c r="L202" s="3">
        <v>11.44</v>
      </c>
      <c r="M202" s="3">
        <v>2</v>
      </c>
      <c r="N202" s="3" t="s">
        <v>542</v>
      </c>
      <c r="O202" s="3" t="s">
        <v>543</v>
      </c>
      <c r="P202" s="3" t="s">
        <v>526</v>
      </c>
      <c r="Q202" s="3" t="s">
        <v>544</v>
      </c>
      <c r="R202" s="3" t="s">
        <v>545</v>
      </c>
      <c r="S202" s="3" t="s">
        <v>546</v>
      </c>
      <c r="T202" s="3" t="s">
        <v>547</v>
      </c>
      <c r="U202" s="3" t="s">
        <v>364</v>
      </c>
      <c r="V202" s="3" t="s">
        <v>37</v>
      </c>
      <c r="W202" s="3" t="s">
        <v>37</v>
      </c>
      <c r="X202" s="3">
        <v>2</v>
      </c>
      <c r="Y202" s="3" t="s">
        <v>38</v>
      </c>
      <c r="Z202" s="3">
        <v>1</v>
      </c>
      <c r="AA202" s="3" t="s">
        <v>37</v>
      </c>
    </row>
    <row r="203" spans="1:27" hidden="1" outlineLevel="1" collapsed="1" x14ac:dyDescent="0.2">
      <c r="A203" t="s">
        <v>37</v>
      </c>
      <c r="B203" s="2" t="s">
        <v>40</v>
      </c>
      <c r="C203" s="2" t="s">
        <v>41</v>
      </c>
      <c r="D203" s="2" t="s">
        <v>26</v>
      </c>
      <c r="E203" s="2" t="s">
        <v>42</v>
      </c>
      <c r="F203" s="2" t="s">
        <v>43</v>
      </c>
      <c r="G203" s="2" t="s">
        <v>25</v>
      </c>
      <c r="H203" s="2" t="s">
        <v>44</v>
      </c>
      <c r="I203" s="2" t="s">
        <v>5</v>
      </c>
      <c r="J203" s="2" t="s">
        <v>6</v>
      </c>
      <c r="K203" s="2" t="s">
        <v>45</v>
      </c>
      <c r="L203" s="2" t="s">
        <v>46</v>
      </c>
      <c r="M203" s="2" t="s">
        <v>47</v>
      </c>
      <c r="N203" s="2" t="s">
        <v>48</v>
      </c>
      <c r="O203" s="2" t="s">
        <v>49</v>
      </c>
      <c r="P203" s="2" t="s">
        <v>24</v>
      </c>
      <c r="Q203" s="2" t="s">
        <v>50</v>
      </c>
      <c r="R203" s="2" t="s">
        <v>51</v>
      </c>
      <c r="S203" s="2" t="s">
        <v>52</v>
      </c>
      <c r="T203" s="2" t="s">
        <v>53</v>
      </c>
    </row>
    <row r="204" spans="1:27" hidden="1" outlineLevel="1" collapsed="1" x14ac:dyDescent="0.2">
      <c r="A204" t="s">
        <v>37</v>
      </c>
      <c r="B204" s="4" t="s">
        <v>38</v>
      </c>
      <c r="C204" s="4" t="s">
        <v>548</v>
      </c>
      <c r="D204" s="4" t="s">
        <v>37</v>
      </c>
      <c r="E204" s="4">
        <v>0.19753799999999999</v>
      </c>
      <c r="F204" s="4">
        <v>5.0826200000000004E-3</v>
      </c>
      <c r="G204" s="4">
        <v>1</v>
      </c>
      <c r="H204" s="4">
        <v>3</v>
      </c>
      <c r="I204" s="4">
        <v>1</v>
      </c>
      <c r="J204" s="4">
        <v>1</v>
      </c>
      <c r="K204" s="4" t="s">
        <v>540</v>
      </c>
      <c r="L204" s="4" t="s">
        <v>549</v>
      </c>
      <c r="M204" s="4" t="s">
        <v>37</v>
      </c>
      <c r="N204" s="4">
        <v>0</v>
      </c>
      <c r="O204" s="4">
        <v>1374.7223300000001</v>
      </c>
      <c r="P204" s="4" t="s">
        <v>38</v>
      </c>
      <c r="Q204" s="4" t="s">
        <v>38</v>
      </c>
      <c r="R204" s="4">
        <v>1.3159999999999999E-3</v>
      </c>
      <c r="S204" s="4">
        <v>7.1110000000000007E-2</v>
      </c>
      <c r="T204" s="4">
        <v>1.71</v>
      </c>
    </row>
    <row r="205" spans="1:27" hidden="1" outlineLevel="1" collapsed="1" x14ac:dyDescent="0.2">
      <c r="A205" t="s">
        <v>37</v>
      </c>
      <c r="B205" s="4" t="s">
        <v>38</v>
      </c>
      <c r="C205" s="4" t="s">
        <v>550</v>
      </c>
      <c r="D205" s="4" t="s">
        <v>551</v>
      </c>
      <c r="E205" s="4">
        <v>0.107515</v>
      </c>
      <c r="F205" s="4">
        <v>5.0826200000000004E-3</v>
      </c>
      <c r="G205" s="4">
        <v>1</v>
      </c>
      <c r="H205" s="4">
        <v>1</v>
      </c>
      <c r="I205" s="4">
        <v>1</v>
      </c>
      <c r="J205" s="4">
        <v>3</v>
      </c>
      <c r="K205" s="4" t="s">
        <v>540</v>
      </c>
      <c r="L205" s="4" t="s">
        <v>552</v>
      </c>
      <c r="M205" s="4" t="s">
        <v>37</v>
      </c>
      <c r="N205" s="4">
        <v>0</v>
      </c>
      <c r="O205" s="4">
        <v>2591.3021399999998</v>
      </c>
      <c r="P205" s="4" t="s">
        <v>38</v>
      </c>
      <c r="Q205" s="4" t="s">
        <v>38</v>
      </c>
      <c r="R205" s="4">
        <v>1.3159999999999999E-3</v>
      </c>
      <c r="S205" s="4">
        <v>2.9020000000000001E-2</v>
      </c>
      <c r="T205" s="4">
        <v>3.6</v>
      </c>
    </row>
    <row r="206" spans="1:27" collapsed="1" x14ac:dyDescent="0.2">
      <c r="A206" s="3" t="s">
        <v>27</v>
      </c>
      <c r="B206" s="3" t="s">
        <v>553</v>
      </c>
      <c r="C206" s="3" t="s">
        <v>554</v>
      </c>
      <c r="D206" s="3">
        <v>2</v>
      </c>
      <c r="E206" s="3">
        <v>1</v>
      </c>
      <c r="F206" s="3">
        <v>1</v>
      </c>
      <c r="G206" s="3">
        <v>4</v>
      </c>
      <c r="H206" s="3">
        <v>1</v>
      </c>
      <c r="I206" s="3">
        <v>956</v>
      </c>
      <c r="J206" s="3">
        <v>111.8</v>
      </c>
      <c r="K206" s="3">
        <v>6.19</v>
      </c>
      <c r="L206" s="3">
        <v>10.16</v>
      </c>
      <c r="M206" s="3">
        <v>1</v>
      </c>
      <c r="N206" s="3" t="s">
        <v>120</v>
      </c>
      <c r="O206" s="3" t="s">
        <v>222</v>
      </c>
      <c r="P206" s="3" t="s">
        <v>555</v>
      </c>
      <c r="Q206" s="3" t="s">
        <v>556</v>
      </c>
      <c r="R206" s="3" t="s">
        <v>557</v>
      </c>
      <c r="S206" s="3" t="s">
        <v>558</v>
      </c>
      <c r="T206" s="3" t="s">
        <v>559</v>
      </c>
      <c r="U206" s="3" t="s">
        <v>37</v>
      </c>
      <c r="V206" s="3" t="s">
        <v>37</v>
      </c>
      <c r="W206" s="3" t="s">
        <v>37</v>
      </c>
      <c r="X206" s="3">
        <v>0</v>
      </c>
      <c r="Y206" s="3" t="s">
        <v>38</v>
      </c>
      <c r="Z206" s="3">
        <v>1</v>
      </c>
      <c r="AA206" s="3" t="s">
        <v>37</v>
      </c>
    </row>
    <row r="207" spans="1:27" hidden="1" outlineLevel="1" collapsed="1" x14ac:dyDescent="0.2">
      <c r="A207" t="s">
        <v>37</v>
      </c>
      <c r="B207" s="2" t="s">
        <v>40</v>
      </c>
      <c r="C207" s="2" t="s">
        <v>41</v>
      </c>
      <c r="D207" s="2" t="s">
        <v>26</v>
      </c>
      <c r="E207" s="2" t="s">
        <v>42</v>
      </c>
      <c r="F207" s="2" t="s">
        <v>43</v>
      </c>
      <c r="G207" s="2" t="s">
        <v>25</v>
      </c>
      <c r="H207" s="2" t="s">
        <v>44</v>
      </c>
      <c r="I207" s="2" t="s">
        <v>5</v>
      </c>
      <c r="J207" s="2" t="s">
        <v>6</v>
      </c>
      <c r="K207" s="2" t="s">
        <v>45</v>
      </c>
      <c r="L207" s="2" t="s">
        <v>46</v>
      </c>
      <c r="M207" s="2" t="s">
        <v>47</v>
      </c>
      <c r="N207" s="2" t="s">
        <v>48</v>
      </c>
      <c r="O207" s="2" t="s">
        <v>49</v>
      </c>
      <c r="P207" s="2" t="s">
        <v>24</v>
      </c>
      <c r="Q207" s="2" t="s">
        <v>50</v>
      </c>
      <c r="R207" s="2" t="s">
        <v>51</v>
      </c>
      <c r="S207" s="2" t="s">
        <v>52</v>
      </c>
      <c r="T207" s="2" t="s">
        <v>53</v>
      </c>
    </row>
    <row r="208" spans="1:27" hidden="1" outlineLevel="1" collapsed="1" x14ac:dyDescent="0.2">
      <c r="A208" t="s">
        <v>37</v>
      </c>
      <c r="B208" s="4" t="s">
        <v>38</v>
      </c>
      <c r="C208" s="4" t="s">
        <v>560</v>
      </c>
      <c r="D208" s="4" t="s">
        <v>37</v>
      </c>
      <c r="E208" s="4">
        <v>5.76085E-2</v>
      </c>
      <c r="F208" s="4">
        <v>5.0826200000000004E-3</v>
      </c>
      <c r="G208" s="4">
        <v>1</v>
      </c>
      <c r="H208" s="4">
        <v>1</v>
      </c>
      <c r="I208" s="4">
        <v>1</v>
      </c>
      <c r="J208" s="4">
        <v>4</v>
      </c>
      <c r="K208" s="4" t="s">
        <v>553</v>
      </c>
      <c r="L208" s="4" t="s">
        <v>561</v>
      </c>
      <c r="M208" s="4" t="s">
        <v>37</v>
      </c>
      <c r="N208" s="4">
        <v>0</v>
      </c>
      <c r="O208" s="4">
        <v>1604.8682699999999</v>
      </c>
      <c r="P208" s="4" t="s">
        <v>38</v>
      </c>
      <c r="Q208" s="4" t="s">
        <v>38</v>
      </c>
      <c r="R208" s="4">
        <v>1.3159999999999999E-3</v>
      </c>
      <c r="S208" s="4">
        <v>1.1860000000000001E-2</v>
      </c>
      <c r="T208" s="4">
        <v>2.82</v>
      </c>
    </row>
    <row r="209" spans="1:27" collapsed="1" x14ac:dyDescent="0.2">
      <c r="A209" s="3" t="s">
        <v>27</v>
      </c>
      <c r="B209" s="3" t="s">
        <v>562</v>
      </c>
      <c r="C209" s="3" t="s">
        <v>563</v>
      </c>
      <c r="D209" s="3">
        <v>23</v>
      </c>
      <c r="E209" s="3">
        <v>2</v>
      </c>
      <c r="F209" s="3">
        <v>2</v>
      </c>
      <c r="G209" s="3">
        <v>3</v>
      </c>
      <c r="H209" s="3">
        <v>2</v>
      </c>
      <c r="I209" s="3">
        <v>132</v>
      </c>
      <c r="J209" s="3">
        <v>14</v>
      </c>
      <c r="K209" s="3">
        <v>10.67</v>
      </c>
      <c r="L209" s="3">
        <v>9.43</v>
      </c>
      <c r="M209" s="3">
        <v>2</v>
      </c>
      <c r="N209" s="3" t="s">
        <v>564</v>
      </c>
      <c r="O209" s="3" t="s">
        <v>268</v>
      </c>
      <c r="P209" s="3" t="s">
        <v>526</v>
      </c>
      <c r="Q209" s="3" t="s">
        <v>565</v>
      </c>
      <c r="R209" s="3" t="s">
        <v>566</v>
      </c>
      <c r="S209" s="3" t="s">
        <v>567</v>
      </c>
      <c r="T209" s="3" t="s">
        <v>568</v>
      </c>
      <c r="U209" s="3" t="s">
        <v>569</v>
      </c>
      <c r="V209" s="3" t="s">
        <v>37</v>
      </c>
      <c r="W209" s="3" t="s">
        <v>570</v>
      </c>
      <c r="X209" s="3">
        <v>12</v>
      </c>
      <c r="Y209" s="3" t="s">
        <v>38</v>
      </c>
      <c r="Z209" s="3">
        <v>1</v>
      </c>
      <c r="AA209" s="3" t="s">
        <v>37</v>
      </c>
    </row>
    <row r="210" spans="1:27" hidden="1" outlineLevel="1" collapsed="1" x14ac:dyDescent="0.2">
      <c r="A210" t="s">
        <v>37</v>
      </c>
      <c r="B210" s="2" t="s">
        <v>40</v>
      </c>
      <c r="C210" s="2" t="s">
        <v>41</v>
      </c>
      <c r="D210" s="2" t="s">
        <v>26</v>
      </c>
      <c r="E210" s="2" t="s">
        <v>42</v>
      </c>
      <c r="F210" s="2" t="s">
        <v>43</v>
      </c>
      <c r="G210" s="2" t="s">
        <v>25</v>
      </c>
      <c r="H210" s="2" t="s">
        <v>44</v>
      </c>
      <c r="I210" s="2" t="s">
        <v>5</v>
      </c>
      <c r="J210" s="2" t="s">
        <v>6</v>
      </c>
      <c r="K210" s="2" t="s">
        <v>45</v>
      </c>
      <c r="L210" s="2" t="s">
        <v>46</v>
      </c>
      <c r="M210" s="2" t="s">
        <v>47</v>
      </c>
      <c r="N210" s="2" t="s">
        <v>48</v>
      </c>
      <c r="O210" s="2" t="s">
        <v>49</v>
      </c>
      <c r="P210" s="2" t="s">
        <v>24</v>
      </c>
      <c r="Q210" s="2" t="s">
        <v>50</v>
      </c>
      <c r="R210" s="2" t="s">
        <v>51</v>
      </c>
      <c r="S210" s="2" t="s">
        <v>52</v>
      </c>
      <c r="T210" s="2" t="s">
        <v>53</v>
      </c>
    </row>
    <row r="211" spans="1:27" hidden="1" outlineLevel="1" collapsed="1" x14ac:dyDescent="0.2">
      <c r="A211" t="s">
        <v>37</v>
      </c>
      <c r="B211" s="4" t="s">
        <v>38</v>
      </c>
      <c r="C211" s="4" t="s">
        <v>571</v>
      </c>
      <c r="D211" s="4" t="s">
        <v>37</v>
      </c>
      <c r="E211" s="4">
        <v>0.18213399999999999</v>
      </c>
      <c r="F211" s="4">
        <v>5.0826200000000004E-3</v>
      </c>
      <c r="G211" s="4">
        <v>1</v>
      </c>
      <c r="H211" s="4">
        <v>2</v>
      </c>
      <c r="I211" s="4">
        <v>1</v>
      </c>
      <c r="J211" s="4">
        <v>2</v>
      </c>
      <c r="K211" s="4" t="s">
        <v>562</v>
      </c>
      <c r="L211" s="4" t="s">
        <v>572</v>
      </c>
      <c r="M211" s="4" t="s">
        <v>37</v>
      </c>
      <c r="N211" s="4">
        <v>0</v>
      </c>
      <c r="O211" s="4">
        <v>2409.3976400000001</v>
      </c>
      <c r="P211" s="4" t="s">
        <v>38</v>
      </c>
      <c r="Q211" s="4" t="s">
        <v>38</v>
      </c>
      <c r="R211" s="4">
        <v>1.3159999999999999E-3</v>
      </c>
      <c r="S211" s="4">
        <v>6.293E-2</v>
      </c>
      <c r="T211" s="4">
        <v>3.06</v>
      </c>
    </row>
    <row r="212" spans="1:27" hidden="1" outlineLevel="1" collapsed="1" x14ac:dyDescent="0.2">
      <c r="A212" t="s">
        <v>37</v>
      </c>
      <c r="B212" s="4" t="s">
        <v>38</v>
      </c>
      <c r="C212" s="4" t="s">
        <v>573</v>
      </c>
      <c r="D212" s="4" t="s">
        <v>37</v>
      </c>
      <c r="E212" s="4">
        <v>0.144791</v>
      </c>
      <c r="F212" s="4">
        <v>5.0826200000000004E-3</v>
      </c>
      <c r="G212" s="4">
        <v>1</v>
      </c>
      <c r="H212" s="4">
        <v>2</v>
      </c>
      <c r="I212" s="4">
        <v>1</v>
      </c>
      <c r="J212" s="4">
        <v>1</v>
      </c>
      <c r="K212" s="4" t="s">
        <v>562</v>
      </c>
      <c r="L212" s="4" t="s">
        <v>574</v>
      </c>
      <c r="M212" s="4" t="s">
        <v>37</v>
      </c>
      <c r="N212" s="4">
        <v>1</v>
      </c>
      <c r="O212" s="4">
        <v>3237.759</v>
      </c>
      <c r="P212" s="4" t="s">
        <v>38</v>
      </c>
      <c r="Q212" s="4" t="s">
        <v>38</v>
      </c>
      <c r="R212" s="4">
        <v>1.3159999999999999E-3</v>
      </c>
      <c r="S212" s="4">
        <v>4.4810000000000003E-2</v>
      </c>
      <c r="T212" s="4">
        <v>3.6</v>
      </c>
    </row>
    <row r="213" spans="1:27" collapsed="1" x14ac:dyDescent="0.2">
      <c r="A213" s="3" t="s">
        <v>27</v>
      </c>
      <c r="B213" s="3" t="s">
        <v>575</v>
      </c>
      <c r="C213" s="3" t="s">
        <v>576</v>
      </c>
      <c r="D213" s="3">
        <v>18</v>
      </c>
      <c r="E213" s="3">
        <v>2</v>
      </c>
      <c r="F213" s="3">
        <v>2</v>
      </c>
      <c r="G213" s="3">
        <v>5</v>
      </c>
      <c r="H213" s="3">
        <v>2</v>
      </c>
      <c r="I213" s="3">
        <v>142</v>
      </c>
      <c r="J213" s="3">
        <v>15.7</v>
      </c>
      <c r="K213" s="3">
        <v>10.11</v>
      </c>
      <c r="L213" s="3">
        <v>9.4</v>
      </c>
      <c r="M213" s="3">
        <v>2</v>
      </c>
      <c r="N213" s="3" t="s">
        <v>577</v>
      </c>
      <c r="O213" s="3" t="s">
        <v>578</v>
      </c>
      <c r="P213" s="3" t="s">
        <v>526</v>
      </c>
      <c r="Q213" s="3" t="s">
        <v>579</v>
      </c>
      <c r="R213" s="3" t="s">
        <v>580</v>
      </c>
      <c r="S213" s="3" t="s">
        <v>581</v>
      </c>
      <c r="T213" s="3" t="s">
        <v>582</v>
      </c>
      <c r="U213" s="3" t="s">
        <v>583</v>
      </c>
      <c r="V213" s="3" t="s">
        <v>37</v>
      </c>
      <c r="W213" s="3" t="s">
        <v>37</v>
      </c>
      <c r="X213" s="3">
        <v>6</v>
      </c>
      <c r="Y213" s="3" t="s">
        <v>38</v>
      </c>
      <c r="Z213" s="3">
        <v>1</v>
      </c>
      <c r="AA213" s="3" t="s">
        <v>37</v>
      </c>
    </row>
    <row r="214" spans="1:27" hidden="1" outlineLevel="1" collapsed="1" x14ac:dyDescent="0.2">
      <c r="A214" t="s">
        <v>37</v>
      </c>
      <c r="B214" s="2" t="s">
        <v>40</v>
      </c>
      <c r="C214" s="2" t="s">
        <v>41</v>
      </c>
      <c r="D214" s="2" t="s">
        <v>26</v>
      </c>
      <c r="E214" s="2" t="s">
        <v>42</v>
      </c>
      <c r="F214" s="2" t="s">
        <v>43</v>
      </c>
      <c r="G214" s="2" t="s">
        <v>25</v>
      </c>
      <c r="H214" s="2" t="s">
        <v>44</v>
      </c>
      <c r="I214" s="2" t="s">
        <v>5</v>
      </c>
      <c r="J214" s="2" t="s">
        <v>6</v>
      </c>
      <c r="K214" s="2" t="s">
        <v>45</v>
      </c>
      <c r="L214" s="2" t="s">
        <v>46</v>
      </c>
      <c r="M214" s="2" t="s">
        <v>47</v>
      </c>
      <c r="N214" s="2" t="s">
        <v>48</v>
      </c>
      <c r="O214" s="2" t="s">
        <v>49</v>
      </c>
      <c r="P214" s="2" t="s">
        <v>24</v>
      </c>
      <c r="Q214" s="2" t="s">
        <v>50</v>
      </c>
      <c r="R214" s="2" t="s">
        <v>51</v>
      </c>
      <c r="S214" s="2" t="s">
        <v>52</v>
      </c>
      <c r="T214" s="2" t="s">
        <v>53</v>
      </c>
    </row>
    <row r="215" spans="1:27" hidden="1" outlineLevel="1" collapsed="1" x14ac:dyDescent="0.2">
      <c r="A215" t="s">
        <v>37</v>
      </c>
      <c r="B215" s="4" t="s">
        <v>38</v>
      </c>
      <c r="C215" s="4" t="s">
        <v>584</v>
      </c>
      <c r="D215" s="4" t="s">
        <v>37</v>
      </c>
      <c r="E215" s="4">
        <v>3.9213699999999997E-2</v>
      </c>
      <c r="F215" s="4">
        <v>5.0826200000000004E-3</v>
      </c>
      <c r="G215" s="4">
        <v>1</v>
      </c>
      <c r="H215" s="4">
        <v>1</v>
      </c>
      <c r="I215" s="4">
        <v>1</v>
      </c>
      <c r="J215" s="4">
        <v>2</v>
      </c>
      <c r="K215" s="4" t="s">
        <v>575</v>
      </c>
      <c r="L215" s="4" t="s">
        <v>585</v>
      </c>
      <c r="M215" s="4" t="s">
        <v>37</v>
      </c>
      <c r="N215" s="4">
        <v>0</v>
      </c>
      <c r="O215" s="4">
        <v>1450.7172499999999</v>
      </c>
      <c r="P215" s="4" t="s">
        <v>38</v>
      </c>
      <c r="Q215" s="4" t="s">
        <v>38</v>
      </c>
      <c r="R215" s="4">
        <v>1.3159999999999999E-3</v>
      </c>
      <c r="S215" s="4">
        <v>6.868E-3</v>
      </c>
      <c r="T215" s="4">
        <v>2.96</v>
      </c>
    </row>
    <row r="216" spans="1:27" hidden="1" outlineLevel="1" collapsed="1" x14ac:dyDescent="0.2">
      <c r="A216" t="s">
        <v>37</v>
      </c>
      <c r="B216" s="4" t="s">
        <v>38</v>
      </c>
      <c r="C216" s="4" t="s">
        <v>586</v>
      </c>
      <c r="D216" s="4" t="s">
        <v>247</v>
      </c>
      <c r="E216" s="4">
        <v>9.2578499999999994E-2</v>
      </c>
      <c r="F216" s="4">
        <v>5.0826200000000004E-3</v>
      </c>
      <c r="G216" s="4">
        <v>1</v>
      </c>
      <c r="H216" s="4">
        <v>1</v>
      </c>
      <c r="I216" s="4">
        <v>1</v>
      </c>
      <c r="J216" s="4">
        <v>3</v>
      </c>
      <c r="K216" s="4" t="s">
        <v>575</v>
      </c>
      <c r="L216" s="4" t="s">
        <v>587</v>
      </c>
      <c r="M216" s="4" t="s">
        <v>37</v>
      </c>
      <c r="N216" s="4">
        <v>0</v>
      </c>
      <c r="O216" s="4">
        <v>1462.74577</v>
      </c>
      <c r="P216" s="4" t="s">
        <v>38</v>
      </c>
      <c r="Q216" s="4" t="s">
        <v>38</v>
      </c>
      <c r="R216" s="4">
        <v>1.3159999999999999E-3</v>
      </c>
      <c r="S216" s="4">
        <v>2.3390000000000001E-2</v>
      </c>
      <c r="T216" s="4">
        <v>2.04</v>
      </c>
    </row>
    <row r="217" spans="1:27" collapsed="1" x14ac:dyDescent="0.2">
      <c r="A217" s="3" t="s">
        <v>27</v>
      </c>
      <c r="B217" s="3" t="s">
        <v>588</v>
      </c>
      <c r="C217" s="3" t="s">
        <v>589</v>
      </c>
      <c r="D217" s="3">
        <v>6</v>
      </c>
      <c r="E217" s="3">
        <v>1</v>
      </c>
      <c r="F217" s="3">
        <v>1</v>
      </c>
      <c r="G217" s="3">
        <v>3</v>
      </c>
      <c r="H217" s="3">
        <v>1</v>
      </c>
      <c r="I217" s="3">
        <v>233</v>
      </c>
      <c r="J217" s="3">
        <v>25.8</v>
      </c>
      <c r="K217" s="3">
        <v>8.48</v>
      </c>
      <c r="L217" s="3">
        <v>8.4600000000000009</v>
      </c>
      <c r="M217" s="3">
        <v>1</v>
      </c>
      <c r="N217" s="3" t="s">
        <v>590</v>
      </c>
      <c r="O217" s="3" t="s">
        <v>591</v>
      </c>
      <c r="P217" s="3" t="s">
        <v>32</v>
      </c>
      <c r="Q217" s="3" t="s">
        <v>592</v>
      </c>
      <c r="R217" s="3" t="s">
        <v>593</v>
      </c>
      <c r="S217" s="3" t="s">
        <v>594</v>
      </c>
      <c r="T217" s="3" t="s">
        <v>595</v>
      </c>
      <c r="U217" s="3" t="s">
        <v>596</v>
      </c>
      <c r="V217" s="3" t="s">
        <v>37</v>
      </c>
      <c r="W217" s="3" t="s">
        <v>37</v>
      </c>
      <c r="X217" s="3">
        <v>1</v>
      </c>
      <c r="Y217" s="3" t="s">
        <v>38</v>
      </c>
      <c r="Z217" s="3">
        <v>1</v>
      </c>
      <c r="AA217" s="3" t="s">
        <v>37</v>
      </c>
    </row>
    <row r="218" spans="1:27" hidden="1" outlineLevel="1" collapsed="1" x14ac:dyDescent="0.2">
      <c r="A218" t="s">
        <v>37</v>
      </c>
      <c r="B218" s="2" t="s">
        <v>40</v>
      </c>
      <c r="C218" s="2" t="s">
        <v>41</v>
      </c>
      <c r="D218" s="2" t="s">
        <v>26</v>
      </c>
      <c r="E218" s="2" t="s">
        <v>42</v>
      </c>
      <c r="F218" s="2" t="s">
        <v>43</v>
      </c>
      <c r="G218" s="2" t="s">
        <v>25</v>
      </c>
      <c r="H218" s="2" t="s">
        <v>44</v>
      </c>
      <c r="I218" s="2" t="s">
        <v>5</v>
      </c>
      <c r="J218" s="2" t="s">
        <v>6</v>
      </c>
      <c r="K218" s="2" t="s">
        <v>45</v>
      </c>
      <c r="L218" s="2" t="s">
        <v>46</v>
      </c>
      <c r="M218" s="2" t="s">
        <v>47</v>
      </c>
      <c r="N218" s="2" t="s">
        <v>48</v>
      </c>
      <c r="O218" s="2" t="s">
        <v>49</v>
      </c>
      <c r="P218" s="2" t="s">
        <v>24</v>
      </c>
      <c r="Q218" s="2" t="s">
        <v>50</v>
      </c>
      <c r="R218" s="2" t="s">
        <v>51</v>
      </c>
      <c r="S218" s="2" t="s">
        <v>52</v>
      </c>
      <c r="T218" s="2" t="s">
        <v>53</v>
      </c>
    </row>
    <row r="219" spans="1:27" hidden="1" outlineLevel="1" collapsed="1" x14ac:dyDescent="0.2">
      <c r="A219" t="s">
        <v>37</v>
      </c>
      <c r="B219" s="4" t="s">
        <v>38</v>
      </c>
      <c r="C219" s="4" t="s">
        <v>597</v>
      </c>
      <c r="D219" s="4" t="s">
        <v>37</v>
      </c>
      <c r="E219" s="4">
        <v>4.9924799999999998E-2</v>
      </c>
      <c r="F219" s="4">
        <v>5.0826200000000004E-3</v>
      </c>
      <c r="G219" s="4">
        <v>1</v>
      </c>
      <c r="H219" s="4">
        <v>1</v>
      </c>
      <c r="I219" s="4">
        <v>1</v>
      </c>
      <c r="J219" s="4">
        <v>3</v>
      </c>
      <c r="K219" s="4" t="s">
        <v>588</v>
      </c>
      <c r="L219" s="4" t="s">
        <v>598</v>
      </c>
      <c r="M219" s="4" t="s">
        <v>37</v>
      </c>
      <c r="N219" s="4">
        <v>0</v>
      </c>
      <c r="O219" s="4">
        <v>1577.80573</v>
      </c>
      <c r="P219" s="4" t="s">
        <v>38</v>
      </c>
      <c r="Q219" s="4" t="s">
        <v>38</v>
      </c>
      <c r="R219" s="4">
        <v>1.3159999999999999E-3</v>
      </c>
      <c r="S219" s="4">
        <v>9.6900000000000007E-3</v>
      </c>
      <c r="T219" s="4">
        <v>2.63</v>
      </c>
    </row>
    <row r="220" spans="1:27" collapsed="1" x14ac:dyDescent="0.2">
      <c r="A220" s="3" t="s">
        <v>27</v>
      </c>
      <c r="B220" s="3" t="s">
        <v>599</v>
      </c>
      <c r="C220" s="3" t="s">
        <v>600</v>
      </c>
      <c r="D220" s="3">
        <v>9</v>
      </c>
      <c r="E220" s="3">
        <v>2</v>
      </c>
      <c r="F220" s="3">
        <v>2</v>
      </c>
      <c r="G220" s="3">
        <v>4</v>
      </c>
      <c r="H220" s="3">
        <v>2</v>
      </c>
      <c r="I220" s="3">
        <v>416</v>
      </c>
      <c r="J220" s="3">
        <v>44.7</v>
      </c>
      <c r="K220" s="3">
        <v>7.61</v>
      </c>
      <c r="L220" s="3">
        <v>6.87</v>
      </c>
      <c r="M220" s="3">
        <v>2</v>
      </c>
      <c r="N220" s="3" t="s">
        <v>488</v>
      </c>
      <c r="O220" s="3" t="s">
        <v>543</v>
      </c>
      <c r="P220" s="3" t="s">
        <v>490</v>
      </c>
      <c r="Q220" s="3" t="s">
        <v>601</v>
      </c>
      <c r="R220" s="3" t="s">
        <v>602</v>
      </c>
      <c r="S220" s="3" t="s">
        <v>603</v>
      </c>
      <c r="T220" s="3" t="s">
        <v>604</v>
      </c>
      <c r="U220" s="3" t="s">
        <v>364</v>
      </c>
      <c r="V220" s="3" t="s">
        <v>37</v>
      </c>
      <c r="W220" s="3" t="s">
        <v>37</v>
      </c>
      <c r="X220" s="3">
        <v>2</v>
      </c>
      <c r="Y220" s="3" t="s">
        <v>38</v>
      </c>
      <c r="Z220" s="3">
        <v>1</v>
      </c>
      <c r="AA220" s="3" t="s">
        <v>37</v>
      </c>
    </row>
    <row r="221" spans="1:27" hidden="1" outlineLevel="1" collapsed="1" x14ac:dyDescent="0.2">
      <c r="A221" t="s">
        <v>37</v>
      </c>
      <c r="B221" s="2" t="s">
        <v>40</v>
      </c>
      <c r="C221" s="2" t="s">
        <v>41</v>
      </c>
      <c r="D221" s="2" t="s">
        <v>26</v>
      </c>
      <c r="E221" s="2" t="s">
        <v>42</v>
      </c>
      <c r="F221" s="2" t="s">
        <v>43</v>
      </c>
      <c r="G221" s="2" t="s">
        <v>25</v>
      </c>
      <c r="H221" s="2" t="s">
        <v>44</v>
      </c>
      <c r="I221" s="2" t="s">
        <v>5</v>
      </c>
      <c r="J221" s="2" t="s">
        <v>6</v>
      </c>
      <c r="K221" s="2" t="s">
        <v>45</v>
      </c>
      <c r="L221" s="2" t="s">
        <v>46</v>
      </c>
      <c r="M221" s="2" t="s">
        <v>47</v>
      </c>
      <c r="N221" s="2" t="s">
        <v>48</v>
      </c>
      <c r="O221" s="2" t="s">
        <v>49</v>
      </c>
      <c r="P221" s="2" t="s">
        <v>24</v>
      </c>
      <c r="Q221" s="2" t="s">
        <v>50</v>
      </c>
      <c r="R221" s="2" t="s">
        <v>51</v>
      </c>
      <c r="S221" s="2" t="s">
        <v>52</v>
      </c>
      <c r="T221" s="2" t="s">
        <v>53</v>
      </c>
    </row>
    <row r="222" spans="1:27" hidden="1" outlineLevel="1" collapsed="1" x14ac:dyDescent="0.2">
      <c r="A222" t="s">
        <v>37</v>
      </c>
      <c r="B222" s="4" t="s">
        <v>38</v>
      </c>
      <c r="C222" s="4" t="s">
        <v>605</v>
      </c>
      <c r="D222" s="4" t="s">
        <v>37</v>
      </c>
      <c r="E222" s="4">
        <v>0.20719399999999999</v>
      </c>
      <c r="F222" s="4">
        <v>5.0826200000000004E-3</v>
      </c>
      <c r="G222" s="4">
        <v>1</v>
      </c>
      <c r="H222" s="4">
        <v>1</v>
      </c>
      <c r="I222" s="4">
        <v>1</v>
      </c>
      <c r="J222" s="4">
        <v>3</v>
      </c>
      <c r="K222" s="4" t="s">
        <v>599</v>
      </c>
      <c r="L222" s="4" t="s">
        <v>606</v>
      </c>
      <c r="M222" s="4" t="s">
        <v>37</v>
      </c>
      <c r="N222" s="4">
        <v>0</v>
      </c>
      <c r="O222" s="4">
        <v>1439.8216500000001</v>
      </c>
      <c r="P222" s="4" t="s">
        <v>38</v>
      </c>
      <c r="Q222" s="4" t="s">
        <v>38</v>
      </c>
      <c r="R222" s="4">
        <v>1.3159999999999999E-3</v>
      </c>
      <c r="S222" s="4">
        <v>7.6380000000000003E-2</v>
      </c>
      <c r="T222" s="4">
        <v>2.0699999999999998</v>
      </c>
    </row>
    <row r="223" spans="1:27" hidden="1" outlineLevel="1" collapsed="1" x14ac:dyDescent="0.2">
      <c r="A223" t="s">
        <v>37</v>
      </c>
      <c r="B223" s="4" t="s">
        <v>38</v>
      </c>
      <c r="C223" s="4" t="s">
        <v>607</v>
      </c>
      <c r="D223" s="4" t="s">
        <v>37</v>
      </c>
      <c r="E223" s="4">
        <v>0.210919</v>
      </c>
      <c r="F223" s="4">
        <v>5.0826200000000004E-3</v>
      </c>
      <c r="G223" s="4">
        <v>1</v>
      </c>
      <c r="H223" s="4">
        <v>1</v>
      </c>
      <c r="I223" s="4">
        <v>1</v>
      </c>
      <c r="J223" s="4">
        <v>1</v>
      </c>
      <c r="K223" s="4" t="s">
        <v>599</v>
      </c>
      <c r="L223" s="4" t="s">
        <v>608</v>
      </c>
      <c r="M223" s="4" t="s">
        <v>37</v>
      </c>
      <c r="N223" s="4">
        <v>0</v>
      </c>
      <c r="O223" s="4">
        <v>2391.24422</v>
      </c>
      <c r="P223" s="4" t="s">
        <v>38</v>
      </c>
      <c r="Q223" s="4" t="s">
        <v>38</v>
      </c>
      <c r="R223" s="4">
        <v>1.3159999999999999E-3</v>
      </c>
      <c r="S223" s="4">
        <v>7.8390000000000001E-2</v>
      </c>
      <c r="T223" s="4">
        <v>2.83</v>
      </c>
    </row>
    <row r="224" spans="1:27" collapsed="1" x14ac:dyDescent="0.2">
      <c r="A224" s="3" t="s">
        <v>27</v>
      </c>
      <c r="B224" s="3" t="s">
        <v>195</v>
      </c>
      <c r="C224" s="3" t="s">
        <v>609</v>
      </c>
      <c r="D224" s="3">
        <v>8</v>
      </c>
      <c r="E224" s="3">
        <v>2</v>
      </c>
      <c r="F224" s="3">
        <v>2</v>
      </c>
      <c r="G224" s="3">
        <v>3</v>
      </c>
      <c r="H224" s="3">
        <v>2</v>
      </c>
      <c r="I224" s="3">
        <v>593</v>
      </c>
      <c r="J224" s="3">
        <v>59.5</v>
      </c>
      <c r="K224" s="3">
        <v>5.21</v>
      </c>
      <c r="L224" s="3">
        <v>6.58</v>
      </c>
      <c r="M224" s="3">
        <v>2</v>
      </c>
      <c r="N224" s="3" t="s">
        <v>37</v>
      </c>
      <c r="O224" s="3" t="s">
        <v>37</v>
      </c>
      <c r="P224" s="3" t="s">
        <v>37</v>
      </c>
      <c r="Q224" s="3" t="s">
        <v>37</v>
      </c>
      <c r="R224" s="3" t="s">
        <v>37</v>
      </c>
      <c r="S224" s="3" t="s">
        <v>37</v>
      </c>
      <c r="T224" s="3" t="s">
        <v>195</v>
      </c>
      <c r="U224" s="3" t="s">
        <v>37</v>
      </c>
      <c r="V224" s="3" t="s">
        <v>37</v>
      </c>
      <c r="W224" s="3" t="s">
        <v>37</v>
      </c>
      <c r="X224" s="3">
        <v>0</v>
      </c>
      <c r="Y224" s="3" t="s">
        <v>38</v>
      </c>
      <c r="Z224" s="3">
        <v>1</v>
      </c>
      <c r="AA224" s="3" t="s">
        <v>37</v>
      </c>
    </row>
    <row r="225" spans="1:27" hidden="1" outlineLevel="1" collapsed="1" x14ac:dyDescent="0.2">
      <c r="A225" t="s">
        <v>37</v>
      </c>
      <c r="B225" s="2" t="s">
        <v>40</v>
      </c>
      <c r="C225" s="2" t="s">
        <v>41</v>
      </c>
      <c r="D225" s="2" t="s">
        <v>26</v>
      </c>
      <c r="E225" s="2" t="s">
        <v>42</v>
      </c>
      <c r="F225" s="2" t="s">
        <v>43</v>
      </c>
      <c r="G225" s="2" t="s">
        <v>25</v>
      </c>
      <c r="H225" s="2" t="s">
        <v>44</v>
      </c>
      <c r="I225" s="2" t="s">
        <v>5</v>
      </c>
      <c r="J225" s="2" t="s">
        <v>6</v>
      </c>
      <c r="K225" s="2" t="s">
        <v>45</v>
      </c>
      <c r="L225" s="2" t="s">
        <v>46</v>
      </c>
      <c r="M225" s="2" t="s">
        <v>47</v>
      </c>
      <c r="N225" s="2" t="s">
        <v>48</v>
      </c>
      <c r="O225" s="2" t="s">
        <v>49</v>
      </c>
      <c r="P225" s="2" t="s">
        <v>24</v>
      </c>
      <c r="Q225" s="2" t="s">
        <v>50</v>
      </c>
      <c r="R225" s="2" t="s">
        <v>51</v>
      </c>
      <c r="S225" s="2" t="s">
        <v>52</v>
      </c>
      <c r="T225" s="2" t="s">
        <v>53</v>
      </c>
    </row>
    <row r="226" spans="1:27" hidden="1" outlineLevel="1" collapsed="1" x14ac:dyDescent="0.2">
      <c r="A226" t="s">
        <v>37</v>
      </c>
      <c r="B226" s="4" t="s">
        <v>38</v>
      </c>
      <c r="C226" s="4" t="s">
        <v>610</v>
      </c>
      <c r="D226" s="4" t="s">
        <v>37</v>
      </c>
      <c r="E226" s="4">
        <v>0.150259</v>
      </c>
      <c r="F226" s="4">
        <v>5.0826200000000004E-3</v>
      </c>
      <c r="G226" s="4">
        <v>1</v>
      </c>
      <c r="H226" s="4">
        <v>3</v>
      </c>
      <c r="I226" s="4">
        <v>1</v>
      </c>
      <c r="J226" s="4">
        <v>2</v>
      </c>
      <c r="K226" s="4" t="s">
        <v>195</v>
      </c>
      <c r="L226" s="4" t="s">
        <v>611</v>
      </c>
      <c r="M226" s="4" t="s">
        <v>37</v>
      </c>
      <c r="N226" s="4">
        <v>0</v>
      </c>
      <c r="O226" s="4">
        <v>1707.77214</v>
      </c>
      <c r="P226" s="4" t="s">
        <v>38</v>
      </c>
      <c r="Q226" s="4" t="s">
        <v>38</v>
      </c>
      <c r="R226" s="4">
        <v>1.3159999999999999E-3</v>
      </c>
      <c r="S226" s="4">
        <v>4.7260000000000003E-2</v>
      </c>
      <c r="T226" s="4">
        <v>2.2799999999999998</v>
      </c>
    </row>
    <row r="227" spans="1:27" hidden="1" outlineLevel="1" collapsed="1" x14ac:dyDescent="0.2">
      <c r="A227" t="s">
        <v>37</v>
      </c>
      <c r="B227" s="4" t="s">
        <v>38</v>
      </c>
      <c r="C227" s="4" t="s">
        <v>612</v>
      </c>
      <c r="D227" s="4" t="s">
        <v>37</v>
      </c>
      <c r="E227" s="4">
        <v>0.228408</v>
      </c>
      <c r="F227" s="4">
        <v>5.0826200000000004E-3</v>
      </c>
      <c r="G227" s="4">
        <v>1</v>
      </c>
      <c r="H227" s="4">
        <v>3</v>
      </c>
      <c r="I227" s="4">
        <v>1</v>
      </c>
      <c r="J227" s="4">
        <v>1</v>
      </c>
      <c r="K227" s="4" t="s">
        <v>195</v>
      </c>
      <c r="L227" s="4" t="s">
        <v>613</v>
      </c>
      <c r="M227" s="4" t="s">
        <v>37</v>
      </c>
      <c r="N227" s="4">
        <v>1</v>
      </c>
      <c r="O227" s="4">
        <v>3052.6273200000001</v>
      </c>
      <c r="P227" s="4" t="s">
        <v>38</v>
      </c>
      <c r="Q227" s="4" t="s">
        <v>38</v>
      </c>
      <c r="R227" s="4">
        <v>1.3159999999999999E-3</v>
      </c>
      <c r="S227" s="4">
        <v>8.8749999999999996E-2</v>
      </c>
      <c r="T227" s="4">
        <v>2.63</v>
      </c>
    </row>
    <row r="228" spans="1:27" collapsed="1" x14ac:dyDescent="0.2">
      <c r="A228" s="3" t="s">
        <v>27</v>
      </c>
      <c r="B228" s="3" t="s">
        <v>614</v>
      </c>
      <c r="C228" s="3" t="s">
        <v>615</v>
      </c>
      <c r="D228" s="3">
        <v>18</v>
      </c>
      <c r="E228" s="3">
        <v>2</v>
      </c>
      <c r="F228" s="3">
        <v>2</v>
      </c>
      <c r="G228" s="3">
        <v>3</v>
      </c>
      <c r="H228" s="3">
        <v>2</v>
      </c>
      <c r="I228" s="3">
        <v>131</v>
      </c>
      <c r="J228" s="3">
        <v>14.2</v>
      </c>
      <c r="K228" s="3">
        <v>10.07</v>
      </c>
      <c r="L228" s="3">
        <v>6.32</v>
      </c>
      <c r="M228" s="3">
        <v>2</v>
      </c>
      <c r="N228" s="3" t="s">
        <v>616</v>
      </c>
      <c r="O228" s="3" t="s">
        <v>268</v>
      </c>
      <c r="P228" s="3" t="s">
        <v>526</v>
      </c>
      <c r="Q228" s="3" t="s">
        <v>617</v>
      </c>
      <c r="R228" s="3" t="s">
        <v>618</v>
      </c>
      <c r="S228" s="3" t="s">
        <v>619</v>
      </c>
      <c r="T228" s="3" t="s">
        <v>620</v>
      </c>
      <c r="U228" s="3" t="s">
        <v>621</v>
      </c>
      <c r="V228" s="3" t="s">
        <v>37</v>
      </c>
      <c r="W228" s="3" t="s">
        <v>37</v>
      </c>
      <c r="X228" s="3">
        <v>11</v>
      </c>
      <c r="Y228" s="3" t="s">
        <v>38</v>
      </c>
      <c r="Z228" s="3">
        <v>1</v>
      </c>
      <c r="AA228" s="3" t="s">
        <v>37</v>
      </c>
    </row>
    <row r="229" spans="1:27" hidden="1" outlineLevel="1" collapsed="1" x14ac:dyDescent="0.2">
      <c r="A229" t="s">
        <v>37</v>
      </c>
      <c r="B229" s="2" t="s">
        <v>40</v>
      </c>
      <c r="C229" s="2" t="s">
        <v>41</v>
      </c>
      <c r="D229" s="2" t="s">
        <v>26</v>
      </c>
      <c r="E229" s="2" t="s">
        <v>42</v>
      </c>
      <c r="F229" s="2" t="s">
        <v>43</v>
      </c>
      <c r="G229" s="2" t="s">
        <v>25</v>
      </c>
      <c r="H229" s="2" t="s">
        <v>44</v>
      </c>
      <c r="I229" s="2" t="s">
        <v>5</v>
      </c>
      <c r="J229" s="2" t="s">
        <v>6</v>
      </c>
      <c r="K229" s="2" t="s">
        <v>45</v>
      </c>
      <c r="L229" s="2" t="s">
        <v>46</v>
      </c>
      <c r="M229" s="2" t="s">
        <v>47</v>
      </c>
      <c r="N229" s="2" t="s">
        <v>48</v>
      </c>
      <c r="O229" s="2" t="s">
        <v>49</v>
      </c>
      <c r="P229" s="2" t="s">
        <v>24</v>
      </c>
      <c r="Q229" s="2" t="s">
        <v>50</v>
      </c>
      <c r="R229" s="2" t="s">
        <v>51</v>
      </c>
      <c r="S229" s="2" t="s">
        <v>52</v>
      </c>
      <c r="T229" s="2" t="s">
        <v>53</v>
      </c>
    </row>
    <row r="230" spans="1:27" hidden="1" outlineLevel="1" collapsed="1" x14ac:dyDescent="0.2">
      <c r="A230" t="s">
        <v>37</v>
      </c>
      <c r="B230" s="4" t="s">
        <v>38</v>
      </c>
      <c r="C230" s="4" t="s">
        <v>622</v>
      </c>
      <c r="D230" s="4" t="s">
        <v>37</v>
      </c>
      <c r="E230" s="4">
        <v>9.2874899999999996E-2</v>
      </c>
      <c r="F230" s="4">
        <v>5.0826200000000004E-3</v>
      </c>
      <c r="G230" s="4">
        <v>1</v>
      </c>
      <c r="H230" s="4">
        <v>2</v>
      </c>
      <c r="I230" s="4">
        <v>1</v>
      </c>
      <c r="J230" s="4">
        <v>2</v>
      </c>
      <c r="K230" s="4" t="s">
        <v>614</v>
      </c>
      <c r="L230" s="4" t="s">
        <v>623</v>
      </c>
      <c r="M230" s="4" t="s">
        <v>37</v>
      </c>
      <c r="N230" s="4">
        <v>0</v>
      </c>
      <c r="O230" s="4">
        <v>953.60298999999998</v>
      </c>
      <c r="P230" s="4" t="s">
        <v>38</v>
      </c>
      <c r="Q230" s="4" t="s">
        <v>38</v>
      </c>
      <c r="R230" s="4">
        <v>1.3159999999999999E-3</v>
      </c>
      <c r="S230" s="4">
        <v>2.3480000000000001E-2</v>
      </c>
      <c r="T230" s="4">
        <v>2.16</v>
      </c>
    </row>
    <row r="231" spans="1:27" hidden="1" outlineLevel="1" collapsed="1" x14ac:dyDescent="0.2">
      <c r="A231" t="s">
        <v>37</v>
      </c>
      <c r="B231" s="4" t="s">
        <v>38</v>
      </c>
      <c r="C231" s="4" t="s">
        <v>624</v>
      </c>
      <c r="D231" s="4" t="s">
        <v>511</v>
      </c>
      <c r="E231" s="4">
        <v>0.26330900000000002</v>
      </c>
      <c r="F231" s="4">
        <v>5.0826200000000004E-3</v>
      </c>
      <c r="G231" s="4">
        <v>1</v>
      </c>
      <c r="H231" s="4">
        <v>2</v>
      </c>
      <c r="I231" s="4">
        <v>1</v>
      </c>
      <c r="J231" s="4">
        <v>1</v>
      </c>
      <c r="K231" s="4" t="s">
        <v>614</v>
      </c>
      <c r="L231" s="4" t="s">
        <v>625</v>
      </c>
      <c r="M231" s="4" t="s">
        <v>37</v>
      </c>
      <c r="N231" s="4">
        <v>0</v>
      </c>
      <c r="O231" s="4">
        <v>1787.8632600000001</v>
      </c>
      <c r="P231" s="4" t="s">
        <v>38</v>
      </c>
      <c r="Q231" s="4" t="s">
        <v>38</v>
      </c>
      <c r="R231" s="4">
        <v>1.3159999999999999E-3</v>
      </c>
      <c r="S231" s="4">
        <v>0.11</v>
      </c>
      <c r="T231" s="4">
        <v>2.25</v>
      </c>
    </row>
    <row r="232" spans="1:27" collapsed="1" x14ac:dyDescent="0.2">
      <c r="A232" s="3" t="s">
        <v>27</v>
      </c>
      <c r="B232" s="3" t="s">
        <v>626</v>
      </c>
      <c r="C232" s="3" t="s">
        <v>627</v>
      </c>
      <c r="D232" s="3">
        <v>5</v>
      </c>
      <c r="E232" s="3">
        <v>1</v>
      </c>
      <c r="F232" s="3">
        <v>1</v>
      </c>
      <c r="G232" s="3">
        <v>3</v>
      </c>
      <c r="H232" s="3">
        <v>1</v>
      </c>
      <c r="I232" s="3">
        <v>229</v>
      </c>
      <c r="J232" s="3">
        <v>26.8</v>
      </c>
      <c r="K232" s="3">
        <v>9.31</v>
      </c>
      <c r="L232" s="3">
        <v>5.83</v>
      </c>
      <c r="M232" s="3">
        <v>1</v>
      </c>
      <c r="N232" s="3" t="s">
        <v>120</v>
      </c>
      <c r="O232" s="3" t="s">
        <v>268</v>
      </c>
      <c r="P232" s="3" t="s">
        <v>526</v>
      </c>
      <c r="Q232" s="3" t="s">
        <v>617</v>
      </c>
      <c r="R232" s="3" t="s">
        <v>628</v>
      </c>
      <c r="S232" s="3" t="s">
        <v>629</v>
      </c>
      <c r="T232" s="3" t="s">
        <v>630</v>
      </c>
      <c r="U232" s="3" t="s">
        <v>631</v>
      </c>
      <c r="V232" s="3" t="s">
        <v>37</v>
      </c>
      <c r="W232" s="3" t="s">
        <v>37</v>
      </c>
      <c r="X232" s="3">
        <v>13</v>
      </c>
      <c r="Y232" s="3" t="s">
        <v>38</v>
      </c>
      <c r="Z232" s="3">
        <v>1</v>
      </c>
      <c r="AA232" s="3" t="s">
        <v>37</v>
      </c>
    </row>
    <row r="233" spans="1:27" hidden="1" outlineLevel="1" collapsed="1" x14ac:dyDescent="0.2">
      <c r="A233" t="s">
        <v>37</v>
      </c>
      <c r="B233" s="2" t="s">
        <v>40</v>
      </c>
      <c r="C233" s="2" t="s">
        <v>41</v>
      </c>
      <c r="D233" s="2" t="s">
        <v>26</v>
      </c>
      <c r="E233" s="2" t="s">
        <v>42</v>
      </c>
      <c r="F233" s="2" t="s">
        <v>43</v>
      </c>
      <c r="G233" s="2" t="s">
        <v>25</v>
      </c>
      <c r="H233" s="2" t="s">
        <v>44</v>
      </c>
      <c r="I233" s="2" t="s">
        <v>5</v>
      </c>
      <c r="J233" s="2" t="s">
        <v>6</v>
      </c>
      <c r="K233" s="2" t="s">
        <v>45</v>
      </c>
      <c r="L233" s="2" t="s">
        <v>46</v>
      </c>
      <c r="M233" s="2" t="s">
        <v>47</v>
      </c>
      <c r="N233" s="2" t="s">
        <v>48</v>
      </c>
      <c r="O233" s="2" t="s">
        <v>49</v>
      </c>
      <c r="P233" s="2" t="s">
        <v>24</v>
      </c>
      <c r="Q233" s="2" t="s">
        <v>50</v>
      </c>
      <c r="R233" s="2" t="s">
        <v>51</v>
      </c>
      <c r="S233" s="2" t="s">
        <v>52</v>
      </c>
      <c r="T233" s="2" t="s">
        <v>53</v>
      </c>
    </row>
    <row r="234" spans="1:27" hidden="1" outlineLevel="1" collapsed="1" x14ac:dyDescent="0.2">
      <c r="A234" t="s">
        <v>37</v>
      </c>
      <c r="B234" s="4" t="s">
        <v>38</v>
      </c>
      <c r="C234" s="4" t="s">
        <v>632</v>
      </c>
      <c r="D234" s="4" t="s">
        <v>37</v>
      </c>
      <c r="E234" s="4">
        <v>3.9729800000000003E-2</v>
      </c>
      <c r="F234" s="4">
        <v>5.0826200000000004E-3</v>
      </c>
      <c r="G234" s="4">
        <v>1</v>
      </c>
      <c r="H234" s="4">
        <v>1</v>
      </c>
      <c r="I234" s="4">
        <v>1</v>
      </c>
      <c r="J234" s="4">
        <v>3</v>
      </c>
      <c r="K234" s="4" t="s">
        <v>626</v>
      </c>
      <c r="L234" s="4" t="s">
        <v>633</v>
      </c>
      <c r="M234" s="4" t="s">
        <v>37</v>
      </c>
      <c r="N234" s="4">
        <v>0</v>
      </c>
      <c r="O234" s="4">
        <v>1454.7525700000001</v>
      </c>
      <c r="P234" s="4" t="s">
        <v>38</v>
      </c>
      <c r="Q234" s="4" t="s">
        <v>38</v>
      </c>
      <c r="R234" s="4">
        <v>1.3159999999999999E-3</v>
      </c>
      <c r="S234" s="4">
        <v>7.0130000000000001E-3</v>
      </c>
      <c r="T234" s="4">
        <v>1.96</v>
      </c>
    </row>
    <row r="235" spans="1:27" collapsed="1" x14ac:dyDescent="0.2">
      <c r="A235" s="3" t="s">
        <v>27</v>
      </c>
      <c r="B235" s="3" t="s">
        <v>634</v>
      </c>
      <c r="C235" s="3" t="s">
        <v>635</v>
      </c>
      <c r="D235" s="3">
        <v>4</v>
      </c>
      <c r="E235" s="3">
        <v>1</v>
      </c>
      <c r="F235" s="3">
        <v>1</v>
      </c>
      <c r="G235" s="3">
        <v>2</v>
      </c>
      <c r="H235" s="3">
        <v>1</v>
      </c>
      <c r="I235" s="3">
        <v>472</v>
      </c>
      <c r="J235" s="3">
        <v>51.1</v>
      </c>
      <c r="K235" s="3">
        <v>5.05</v>
      </c>
      <c r="L235" s="3">
        <v>4.67</v>
      </c>
      <c r="M235" s="3">
        <v>1</v>
      </c>
      <c r="N235" s="3" t="s">
        <v>37</v>
      </c>
      <c r="O235" s="3" t="s">
        <v>37</v>
      </c>
      <c r="P235" s="3" t="s">
        <v>37</v>
      </c>
      <c r="Q235" s="3" t="s">
        <v>37</v>
      </c>
      <c r="R235" s="3" t="s">
        <v>37</v>
      </c>
      <c r="S235" s="3" t="s">
        <v>37</v>
      </c>
      <c r="T235" s="3" t="s">
        <v>634</v>
      </c>
      <c r="U235" s="3" t="s">
        <v>37</v>
      </c>
      <c r="V235" s="3" t="s">
        <v>37</v>
      </c>
      <c r="W235" s="3" t="s">
        <v>37</v>
      </c>
      <c r="X235" s="3">
        <v>0</v>
      </c>
      <c r="Y235" s="3" t="s">
        <v>38</v>
      </c>
      <c r="Z235" s="3">
        <v>1</v>
      </c>
      <c r="AA235" s="3" t="s">
        <v>37</v>
      </c>
    </row>
    <row r="236" spans="1:27" hidden="1" outlineLevel="1" collapsed="1" x14ac:dyDescent="0.2">
      <c r="A236" t="s">
        <v>37</v>
      </c>
      <c r="B236" s="2" t="s">
        <v>40</v>
      </c>
      <c r="C236" s="2" t="s">
        <v>41</v>
      </c>
      <c r="D236" s="2" t="s">
        <v>26</v>
      </c>
      <c r="E236" s="2" t="s">
        <v>42</v>
      </c>
      <c r="F236" s="2" t="s">
        <v>43</v>
      </c>
      <c r="G236" s="2" t="s">
        <v>25</v>
      </c>
      <c r="H236" s="2" t="s">
        <v>44</v>
      </c>
      <c r="I236" s="2" t="s">
        <v>5</v>
      </c>
      <c r="J236" s="2" t="s">
        <v>6</v>
      </c>
      <c r="K236" s="2" t="s">
        <v>45</v>
      </c>
      <c r="L236" s="2" t="s">
        <v>46</v>
      </c>
      <c r="M236" s="2" t="s">
        <v>47</v>
      </c>
      <c r="N236" s="2" t="s">
        <v>48</v>
      </c>
      <c r="O236" s="2" t="s">
        <v>49</v>
      </c>
      <c r="P236" s="2" t="s">
        <v>24</v>
      </c>
      <c r="Q236" s="2" t="s">
        <v>50</v>
      </c>
      <c r="R236" s="2" t="s">
        <v>51</v>
      </c>
      <c r="S236" s="2" t="s">
        <v>52</v>
      </c>
      <c r="T236" s="2" t="s">
        <v>53</v>
      </c>
    </row>
    <row r="237" spans="1:27" hidden="1" outlineLevel="1" collapsed="1" x14ac:dyDescent="0.2">
      <c r="A237" t="s">
        <v>37</v>
      </c>
      <c r="B237" s="4" t="s">
        <v>38</v>
      </c>
      <c r="C237" s="4" t="s">
        <v>636</v>
      </c>
      <c r="D237" s="4" t="s">
        <v>368</v>
      </c>
      <c r="E237" s="4">
        <v>5.7049599999999999E-2</v>
      </c>
      <c r="F237" s="4">
        <v>5.0826200000000004E-3</v>
      </c>
      <c r="G237" s="4">
        <v>1</v>
      </c>
      <c r="H237" s="4">
        <v>1</v>
      </c>
      <c r="I237" s="4">
        <v>1</v>
      </c>
      <c r="J237" s="4">
        <v>2</v>
      </c>
      <c r="K237" s="4" t="s">
        <v>634</v>
      </c>
      <c r="L237" s="4" t="s">
        <v>637</v>
      </c>
      <c r="M237" s="4" t="s">
        <v>37</v>
      </c>
      <c r="N237" s="4">
        <v>0</v>
      </c>
      <c r="O237" s="4">
        <v>2103.9611399999999</v>
      </c>
      <c r="P237" s="4" t="s">
        <v>38</v>
      </c>
      <c r="Q237" s="4" t="s">
        <v>38</v>
      </c>
      <c r="R237" s="4">
        <v>1.3159999999999999E-3</v>
      </c>
      <c r="S237" s="4">
        <v>1.1730000000000001E-2</v>
      </c>
      <c r="T237" s="4">
        <v>2.5</v>
      </c>
    </row>
    <row r="238" spans="1:27" collapsed="1" x14ac:dyDescent="0.2">
      <c r="A238" s="3" t="s">
        <v>27</v>
      </c>
      <c r="B238" s="3" t="s">
        <v>638</v>
      </c>
      <c r="C238" s="3" t="s">
        <v>639</v>
      </c>
      <c r="D238" s="3">
        <v>11</v>
      </c>
      <c r="E238" s="3">
        <v>2</v>
      </c>
      <c r="F238" s="3">
        <v>2</v>
      </c>
      <c r="G238" s="3">
        <v>2</v>
      </c>
      <c r="H238" s="3">
        <v>2</v>
      </c>
      <c r="I238" s="3">
        <v>359</v>
      </c>
      <c r="J238" s="3">
        <v>39.6</v>
      </c>
      <c r="K238" s="3">
        <v>5.78</v>
      </c>
      <c r="L238" s="3">
        <v>4.49</v>
      </c>
      <c r="M238" s="3">
        <v>2</v>
      </c>
      <c r="N238" s="3" t="s">
        <v>488</v>
      </c>
      <c r="O238" s="3" t="s">
        <v>640</v>
      </c>
      <c r="P238" s="3" t="s">
        <v>32</v>
      </c>
      <c r="Q238" s="3" t="s">
        <v>641</v>
      </c>
      <c r="R238" s="3" t="s">
        <v>642</v>
      </c>
      <c r="S238" s="3" t="s">
        <v>643</v>
      </c>
      <c r="T238" s="3" t="s">
        <v>644</v>
      </c>
      <c r="U238" s="3" t="s">
        <v>37</v>
      </c>
      <c r="V238" s="3" t="s">
        <v>37</v>
      </c>
      <c r="W238" s="3" t="s">
        <v>37</v>
      </c>
      <c r="X238" s="3">
        <v>0</v>
      </c>
      <c r="Y238" s="3" t="s">
        <v>38</v>
      </c>
      <c r="Z238" s="3">
        <v>1</v>
      </c>
      <c r="AA238" s="3" t="s">
        <v>37</v>
      </c>
    </row>
    <row r="239" spans="1:27" hidden="1" outlineLevel="1" collapsed="1" x14ac:dyDescent="0.2">
      <c r="A239" t="s">
        <v>37</v>
      </c>
      <c r="B239" s="2" t="s">
        <v>40</v>
      </c>
      <c r="C239" s="2" t="s">
        <v>41</v>
      </c>
      <c r="D239" s="2" t="s">
        <v>26</v>
      </c>
      <c r="E239" s="2" t="s">
        <v>42</v>
      </c>
      <c r="F239" s="2" t="s">
        <v>43</v>
      </c>
      <c r="G239" s="2" t="s">
        <v>25</v>
      </c>
      <c r="H239" s="2" t="s">
        <v>44</v>
      </c>
      <c r="I239" s="2" t="s">
        <v>5</v>
      </c>
      <c r="J239" s="2" t="s">
        <v>6</v>
      </c>
      <c r="K239" s="2" t="s">
        <v>45</v>
      </c>
      <c r="L239" s="2" t="s">
        <v>46</v>
      </c>
      <c r="M239" s="2" t="s">
        <v>47</v>
      </c>
      <c r="N239" s="2" t="s">
        <v>48</v>
      </c>
      <c r="O239" s="2" t="s">
        <v>49</v>
      </c>
      <c r="P239" s="2" t="s">
        <v>24</v>
      </c>
      <c r="Q239" s="2" t="s">
        <v>50</v>
      </c>
      <c r="R239" s="2" t="s">
        <v>51</v>
      </c>
      <c r="S239" s="2" t="s">
        <v>52</v>
      </c>
      <c r="T239" s="2" t="s">
        <v>53</v>
      </c>
    </row>
    <row r="240" spans="1:27" hidden="1" outlineLevel="1" collapsed="1" x14ac:dyDescent="0.2">
      <c r="A240" t="s">
        <v>37</v>
      </c>
      <c r="B240" s="4" t="s">
        <v>38</v>
      </c>
      <c r="C240" s="4" t="s">
        <v>645</v>
      </c>
      <c r="D240" s="4" t="s">
        <v>37</v>
      </c>
      <c r="E240" s="4">
        <v>0.29332000000000003</v>
      </c>
      <c r="F240" s="4">
        <v>5.0826200000000004E-3</v>
      </c>
      <c r="G240" s="4">
        <v>1</v>
      </c>
      <c r="H240" s="4">
        <v>1</v>
      </c>
      <c r="I240" s="4">
        <v>1</v>
      </c>
      <c r="J240" s="4">
        <v>1</v>
      </c>
      <c r="K240" s="4" t="s">
        <v>638</v>
      </c>
      <c r="L240" s="4" t="s">
        <v>646</v>
      </c>
      <c r="M240" s="4" t="s">
        <v>37</v>
      </c>
      <c r="N240" s="4">
        <v>0</v>
      </c>
      <c r="O240" s="4">
        <v>2160.1659100000002</v>
      </c>
      <c r="P240" s="4" t="s">
        <v>38</v>
      </c>
      <c r="Q240" s="4" t="s">
        <v>38</v>
      </c>
      <c r="R240" s="4">
        <v>1.3159999999999999E-3</v>
      </c>
      <c r="S240" s="4">
        <v>0.13020000000000001</v>
      </c>
      <c r="T240" s="4">
        <v>2</v>
      </c>
    </row>
    <row r="241" spans="1:27" hidden="1" outlineLevel="1" collapsed="1" x14ac:dyDescent="0.2">
      <c r="A241" t="s">
        <v>37</v>
      </c>
      <c r="B241" s="4" t="s">
        <v>38</v>
      </c>
      <c r="C241" s="4" t="s">
        <v>647</v>
      </c>
      <c r="D241" s="4" t="s">
        <v>37</v>
      </c>
      <c r="E241" s="4">
        <v>9.4370099999999998E-2</v>
      </c>
      <c r="F241" s="4">
        <v>5.0826200000000004E-3</v>
      </c>
      <c r="G241" s="4">
        <v>1</v>
      </c>
      <c r="H241" s="4">
        <v>1</v>
      </c>
      <c r="I241" s="4">
        <v>1</v>
      </c>
      <c r="J241" s="4">
        <v>1</v>
      </c>
      <c r="K241" s="4" t="s">
        <v>638</v>
      </c>
      <c r="L241" s="4" t="s">
        <v>648</v>
      </c>
      <c r="M241" s="4" t="s">
        <v>37</v>
      </c>
      <c r="N241" s="4">
        <v>0</v>
      </c>
      <c r="O241" s="4">
        <v>1794.9384700000001</v>
      </c>
      <c r="P241" s="4" t="s">
        <v>38</v>
      </c>
      <c r="Q241" s="4" t="s">
        <v>38</v>
      </c>
      <c r="R241" s="4">
        <v>1.3159999999999999E-3</v>
      </c>
      <c r="S241" s="4">
        <v>2.4080000000000001E-2</v>
      </c>
      <c r="T241" s="4">
        <v>2.4900000000000002</v>
      </c>
    </row>
    <row r="242" spans="1:27" collapsed="1" x14ac:dyDescent="0.2">
      <c r="A242" s="3" t="s">
        <v>27</v>
      </c>
      <c r="B242" s="3" t="s">
        <v>649</v>
      </c>
      <c r="C242" s="3" t="s">
        <v>650</v>
      </c>
      <c r="D242" s="3">
        <v>8</v>
      </c>
      <c r="E242" s="3">
        <v>1</v>
      </c>
      <c r="F242" s="3">
        <v>1</v>
      </c>
      <c r="G242" s="3">
        <v>2</v>
      </c>
      <c r="H242" s="3">
        <v>1</v>
      </c>
      <c r="I242" s="3">
        <v>172</v>
      </c>
      <c r="J242" s="3">
        <v>20.399999999999999</v>
      </c>
      <c r="K242" s="3">
        <v>10.3</v>
      </c>
      <c r="L242" s="3">
        <v>4.4400000000000004</v>
      </c>
      <c r="M242" s="3">
        <v>1</v>
      </c>
      <c r="N242" s="3" t="s">
        <v>651</v>
      </c>
      <c r="O242" s="3" t="s">
        <v>652</v>
      </c>
      <c r="P242" s="3" t="s">
        <v>32</v>
      </c>
      <c r="Q242" s="3" t="s">
        <v>653</v>
      </c>
      <c r="R242" s="3" t="s">
        <v>654</v>
      </c>
      <c r="S242" s="3" t="s">
        <v>655</v>
      </c>
      <c r="T242" s="3" t="s">
        <v>656</v>
      </c>
      <c r="U242" s="3" t="s">
        <v>583</v>
      </c>
      <c r="V242" s="3" t="s">
        <v>37</v>
      </c>
      <c r="W242" s="3" t="s">
        <v>37</v>
      </c>
      <c r="X242" s="3">
        <v>6</v>
      </c>
      <c r="Y242" s="3" t="s">
        <v>38</v>
      </c>
      <c r="Z242" s="3">
        <v>1</v>
      </c>
      <c r="AA242" s="3" t="s">
        <v>37</v>
      </c>
    </row>
    <row r="243" spans="1:27" hidden="1" outlineLevel="1" collapsed="1" x14ac:dyDescent="0.2">
      <c r="A243" t="s">
        <v>37</v>
      </c>
      <c r="B243" s="2" t="s">
        <v>40</v>
      </c>
      <c r="C243" s="2" t="s">
        <v>41</v>
      </c>
      <c r="D243" s="2" t="s">
        <v>26</v>
      </c>
      <c r="E243" s="2" t="s">
        <v>42</v>
      </c>
      <c r="F243" s="2" t="s">
        <v>43</v>
      </c>
      <c r="G243" s="2" t="s">
        <v>25</v>
      </c>
      <c r="H243" s="2" t="s">
        <v>44</v>
      </c>
      <c r="I243" s="2" t="s">
        <v>5</v>
      </c>
      <c r="J243" s="2" t="s">
        <v>6</v>
      </c>
      <c r="K243" s="2" t="s">
        <v>45</v>
      </c>
      <c r="L243" s="2" t="s">
        <v>46</v>
      </c>
      <c r="M243" s="2" t="s">
        <v>47</v>
      </c>
      <c r="N243" s="2" t="s">
        <v>48</v>
      </c>
      <c r="O243" s="2" t="s">
        <v>49</v>
      </c>
      <c r="P243" s="2" t="s">
        <v>24</v>
      </c>
      <c r="Q243" s="2" t="s">
        <v>50</v>
      </c>
      <c r="R243" s="2" t="s">
        <v>51</v>
      </c>
      <c r="S243" s="2" t="s">
        <v>52</v>
      </c>
      <c r="T243" s="2" t="s">
        <v>53</v>
      </c>
    </row>
    <row r="244" spans="1:27" hidden="1" outlineLevel="1" collapsed="1" x14ac:dyDescent="0.2">
      <c r="A244" t="s">
        <v>37</v>
      </c>
      <c r="B244" s="4" t="s">
        <v>38</v>
      </c>
      <c r="C244" s="4" t="s">
        <v>657</v>
      </c>
      <c r="D244" s="4" t="s">
        <v>368</v>
      </c>
      <c r="E244" s="4">
        <v>0.23588100000000001</v>
      </c>
      <c r="F244" s="4">
        <v>5.0826200000000004E-3</v>
      </c>
      <c r="G244" s="4">
        <v>1</v>
      </c>
      <c r="H244" s="4">
        <v>1</v>
      </c>
      <c r="I244" s="4">
        <v>1</v>
      </c>
      <c r="J244" s="4">
        <v>2</v>
      </c>
      <c r="K244" s="4" t="s">
        <v>649</v>
      </c>
      <c r="L244" s="4" t="s">
        <v>658</v>
      </c>
      <c r="M244" s="4" t="s">
        <v>37</v>
      </c>
      <c r="N244" s="4">
        <v>0</v>
      </c>
      <c r="O244" s="4">
        <v>1553.7628199999999</v>
      </c>
      <c r="P244" s="4" t="s">
        <v>38</v>
      </c>
      <c r="Q244" s="4" t="s">
        <v>38</v>
      </c>
      <c r="R244" s="4">
        <v>1.3159999999999999E-3</v>
      </c>
      <c r="S244" s="4">
        <v>9.325E-2</v>
      </c>
      <c r="T244" s="4">
        <v>2.37</v>
      </c>
    </row>
    <row r="245" spans="1:27" collapsed="1" x14ac:dyDescent="0.2">
      <c r="A245" s="3" t="s">
        <v>27</v>
      </c>
      <c r="B245" s="3" t="s">
        <v>659</v>
      </c>
      <c r="C245" s="3" t="s">
        <v>660</v>
      </c>
      <c r="D245" s="3">
        <v>4</v>
      </c>
      <c r="E245" s="3">
        <v>1</v>
      </c>
      <c r="F245" s="3">
        <v>1</v>
      </c>
      <c r="G245" s="3">
        <v>2</v>
      </c>
      <c r="H245" s="3">
        <v>1</v>
      </c>
      <c r="I245" s="3">
        <v>471</v>
      </c>
      <c r="J245" s="3">
        <v>51.5</v>
      </c>
      <c r="K245" s="3">
        <v>5.16</v>
      </c>
      <c r="L245" s="3">
        <v>4.21</v>
      </c>
      <c r="M245" s="3">
        <v>1</v>
      </c>
      <c r="N245" s="3" t="s">
        <v>37</v>
      </c>
      <c r="O245" s="3" t="s">
        <v>37</v>
      </c>
      <c r="P245" s="3" t="s">
        <v>37</v>
      </c>
      <c r="Q245" s="3" t="s">
        <v>37</v>
      </c>
      <c r="R245" s="3" t="s">
        <v>37</v>
      </c>
      <c r="S245" s="3" t="s">
        <v>37</v>
      </c>
      <c r="T245" s="3" t="s">
        <v>659</v>
      </c>
      <c r="U245" s="3" t="s">
        <v>37</v>
      </c>
      <c r="V245" s="3" t="s">
        <v>37</v>
      </c>
      <c r="W245" s="3" t="s">
        <v>37</v>
      </c>
      <c r="X245" s="3">
        <v>0</v>
      </c>
      <c r="Y245" s="3" t="s">
        <v>38</v>
      </c>
      <c r="Z245" s="3">
        <v>1</v>
      </c>
      <c r="AA245" s="3" t="s">
        <v>37</v>
      </c>
    </row>
    <row r="246" spans="1:27" hidden="1" outlineLevel="1" collapsed="1" x14ac:dyDescent="0.2">
      <c r="A246" t="s">
        <v>37</v>
      </c>
      <c r="B246" s="2" t="s">
        <v>40</v>
      </c>
      <c r="C246" s="2" t="s">
        <v>41</v>
      </c>
      <c r="D246" s="2" t="s">
        <v>26</v>
      </c>
      <c r="E246" s="2" t="s">
        <v>42</v>
      </c>
      <c r="F246" s="2" t="s">
        <v>43</v>
      </c>
      <c r="G246" s="2" t="s">
        <v>25</v>
      </c>
      <c r="H246" s="2" t="s">
        <v>44</v>
      </c>
      <c r="I246" s="2" t="s">
        <v>5</v>
      </c>
      <c r="J246" s="2" t="s">
        <v>6</v>
      </c>
      <c r="K246" s="2" t="s">
        <v>45</v>
      </c>
      <c r="L246" s="2" t="s">
        <v>46</v>
      </c>
      <c r="M246" s="2" t="s">
        <v>47</v>
      </c>
      <c r="N246" s="2" t="s">
        <v>48</v>
      </c>
      <c r="O246" s="2" t="s">
        <v>49</v>
      </c>
      <c r="P246" s="2" t="s">
        <v>24</v>
      </c>
      <c r="Q246" s="2" t="s">
        <v>50</v>
      </c>
      <c r="R246" s="2" t="s">
        <v>51</v>
      </c>
      <c r="S246" s="2" t="s">
        <v>52</v>
      </c>
      <c r="T246" s="2" t="s">
        <v>53</v>
      </c>
    </row>
    <row r="247" spans="1:27" hidden="1" outlineLevel="1" collapsed="1" x14ac:dyDescent="0.2">
      <c r="A247" t="s">
        <v>37</v>
      </c>
      <c r="B247" s="4" t="s">
        <v>38</v>
      </c>
      <c r="C247" s="4" t="s">
        <v>661</v>
      </c>
      <c r="D247" s="4" t="s">
        <v>368</v>
      </c>
      <c r="E247" s="4">
        <v>0.104159</v>
      </c>
      <c r="F247" s="4">
        <v>5.0826200000000004E-3</v>
      </c>
      <c r="G247" s="4">
        <v>1</v>
      </c>
      <c r="H247" s="4">
        <v>1</v>
      </c>
      <c r="I247" s="4">
        <v>1</v>
      </c>
      <c r="J247" s="4">
        <v>2</v>
      </c>
      <c r="K247" s="4" t="s">
        <v>659</v>
      </c>
      <c r="L247" s="4" t="s">
        <v>662</v>
      </c>
      <c r="M247" s="4" t="s">
        <v>37</v>
      </c>
      <c r="N247" s="4">
        <v>0</v>
      </c>
      <c r="O247" s="4">
        <v>2101.9818700000001</v>
      </c>
      <c r="P247" s="4" t="s">
        <v>38</v>
      </c>
      <c r="Q247" s="4" t="s">
        <v>38</v>
      </c>
      <c r="R247" s="4">
        <v>1.3159999999999999E-3</v>
      </c>
      <c r="S247" s="4">
        <v>2.7689999999999999E-2</v>
      </c>
      <c r="T247" s="4">
        <v>2.14</v>
      </c>
    </row>
    <row r="248" spans="1:27" collapsed="1" x14ac:dyDescent="0.2">
      <c r="A248" s="3" t="s">
        <v>27</v>
      </c>
      <c r="B248" s="3" t="s">
        <v>663</v>
      </c>
      <c r="C248" s="3" t="s">
        <v>664</v>
      </c>
      <c r="D248" s="3">
        <v>4</v>
      </c>
      <c r="E248" s="3">
        <v>1</v>
      </c>
      <c r="F248" s="3">
        <v>1</v>
      </c>
      <c r="G248" s="3">
        <v>1</v>
      </c>
      <c r="H248" s="3">
        <v>1</v>
      </c>
      <c r="I248" s="3">
        <v>368</v>
      </c>
      <c r="J248" s="3">
        <v>42.9</v>
      </c>
      <c r="K248" s="3">
        <v>5.05</v>
      </c>
      <c r="L248" s="3">
        <v>4</v>
      </c>
      <c r="M248" s="3">
        <v>1</v>
      </c>
      <c r="N248" s="3" t="s">
        <v>665</v>
      </c>
      <c r="O248" s="3" t="s">
        <v>268</v>
      </c>
      <c r="P248" s="3" t="s">
        <v>37</v>
      </c>
      <c r="Q248" s="3" t="s">
        <v>666</v>
      </c>
      <c r="R248" s="3" t="s">
        <v>667</v>
      </c>
      <c r="S248" s="3" t="s">
        <v>668</v>
      </c>
      <c r="T248" s="3" t="s">
        <v>669</v>
      </c>
      <c r="U248" s="3" t="s">
        <v>37</v>
      </c>
      <c r="V248" s="3" t="s">
        <v>37</v>
      </c>
      <c r="W248" s="3" t="s">
        <v>37</v>
      </c>
      <c r="X248" s="3">
        <v>0</v>
      </c>
      <c r="Y248" s="3" t="s">
        <v>38</v>
      </c>
      <c r="Z248" s="3">
        <v>1</v>
      </c>
      <c r="AA248" s="3" t="s">
        <v>37</v>
      </c>
    </row>
    <row r="249" spans="1:27" hidden="1" outlineLevel="1" collapsed="1" x14ac:dyDescent="0.2">
      <c r="A249" t="s">
        <v>37</v>
      </c>
      <c r="B249" s="2" t="s">
        <v>40</v>
      </c>
      <c r="C249" s="2" t="s">
        <v>41</v>
      </c>
      <c r="D249" s="2" t="s">
        <v>26</v>
      </c>
      <c r="E249" s="2" t="s">
        <v>42</v>
      </c>
      <c r="F249" s="2" t="s">
        <v>43</v>
      </c>
      <c r="G249" s="2" t="s">
        <v>25</v>
      </c>
      <c r="H249" s="2" t="s">
        <v>44</v>
      </c>
      <c r="I249" s="2" t="s">
        <v>5</v>
      </c>
      <c r="J249" s="2" t="s">
        <v>6</v>
      </c>
      <c r="K249" s="2" t="s">
        <v>45</v>
      </c>
      <c r="L249" s="2" t="s">
        <v>46</v>
      </c>
      <c r="M249" s="2" t="s">
        <v>47</v>
      </c>
      <c r="N249" s="2" t="s">
        <v>48</v>
      </c>
      <c r="O249" s="2" t="s">
        <v>49</v>
      </c>
      <c r="P249" s="2" t="s">
        <v>24</v>
      </c>
      <c r="Q249" s="2" t="s">
        <v>50</v>
      </c>
      <c r="R249" s="2" t="s">
        <v>51</v>
      </c>
      <c r="S249" s="2" t="s">
        <v>52</v>
      </c>
      <c r="T249" s="2" t="s">
        <v>53</v>
      </c>
    </row>
    <row r="250" spans="1:27" hidden="1" outlineLevel="1" collapsed="1" x14ac:dyDescent="0.2">
      <c r="A250" t="s">
        <v>37</v>
      </c>
      <c r="B250" s="4" t="s">
        <v>38</v>
      </c>
      <c r="C250" s="4" t="s">
        <v>670</v>
      </c>
      <c r="D250" s="4" t="s">
        <v>93</v>
      </c>
      <c r="E250" s="4">
        <v>1.61502E-2</v>
      </c>
      <c r="F250" s="4">
        <v>5.0826200000000004E-3</v>
      </c>
      <c r="G250" s="4">
        <v>1</v>
      </c>
      <c r="H250" s="4">
        <v>1</v>
      </c>
      <c r="I250" s="4">
        <v>1</v>
      </c>
      <c r="J250" s="4">
        <v>1</v>
      </c>
      <c r="K250" s="4" t="s">
        <v>663</v>
      </c>
      <c r="L250" s="4" t="s">
        <v>671</v>
      </c>
      <c r="M250" s="4" t="s">
        <v>37</v>
      </c>
      <c r="N250" s="4">
        <v>0</v>
      </c>
      <c r="O250" s="4">
        <v>1868.98667</v>
      </c>
      <c r="P250" s="4" t="s">
        <v>38</v>
      </c>
      <c r="Q250" s="4" t="s">
        <v>38</v>
      </c>
      <c r="R250" s="4">
        <v>1.3159999999999999E-3</v>
      </c>
      <c r="S250" s="4">
        <v>1.9659999999999999E-3</v>
      </c>
      <c r="T250" s="4">
        <v>4</v>
      </c>
    </row>
    <row r="251" spans="1:27" collapsed="1" x14ac:dyDescent="0.2">
      <c r="A251" s="3" t="s">
        <v>27</v>
      </c>
      <c r="B251" s="3" t="s">
        <v>672</v>
      </c>
      <c r="C251" s="3" t="s">
        <v>673</v>
      </c>
      <c r="D251" s="3">
        <v>3</v>
      </c>
      <c r="E251" s="3">
        <v>1</v>
      </c>
      <c r="F251" s="3">
        <v>1</v>
      </c>
      <c r="G251" s="3">
        <v>1</v>
      </c>
      <c r="H251" s="3">
        <v>1</v>
      </c>
      <c r="I251" s="3">
        <v>768</v>
      </c>
      <c r="J251" s="3">
        <v>85.3</v>
      </c>
      <c r="K251" s="3">
        <v>5.66</v>
      </c>
      <c r="L251" s="3">
        <v>3.73</v>
      </c>
      <c r="M251" s="3">
        <v>1</v>
      </c>
      <c r="N251" s="3" t="s">
        <v>674</v>
      </c>
      <c r="O251" s="3" t="s">
        <v>675</v>
      </c>
      <c r="P251" s="3" t="s">
        <v>676</v>
      </c>
      <c r="Q251" s="3" t="s">
        <v>677</v>
      </c>
      <c r="R251" s="3" t="s">
        <v>678</v>
      </c>
      <c r="S251" s="3" t="s">
        <v>679</v>
      </c>
      <c r="T251" s="3" t="s">
        <v>680</v>
      </c>
      <c r="U251" s="3" t="s">
        <v>681</v>
      </c>
      <c r="V251" s="3" t="s">
        <v>37</v>
      </c>
      <c r="W251" s="3" t="s">
        <v>37</v>
      </c>
      <c r="X251" s="3">
        <v>3</v>
      </c>
      <c r="Y251" s="3" t="s">
        <v>38</v>
      </c>
      <c r="Z251" s="3">
        <v>1</v>
      </c>
      <c r="AA251" s="3" t="s">
        <v>682</v>
      </c>
    </row>
    <row r="252" spans="1:27" hidden="1" outlineLevel="1" collapsed="1" x14ac:dyDescent="0.2">
      <c r="A252" t="s">
        <v>37</v>
      </c>
      <c r="B252" s="2" t="s">
        <v>40</v>
      </c>
      <c r="C252" s="2" t="s">
        <v>41</v>
      </c>
      <c r="D252" s="2" t="s">
        <v>26</v>
      </c>
      <c r="E252" s="2" t="s">
        <v>42</v>
      </c>
      <c r="F252" s="2" t="s">
        <v>43</v>
      </c>
      <c r="G252" s="2" t="s">
        <v>25</v>
      </c>
      <c r="H252" s="2" t="s">
        <v>44</v>
      </c>
      <c r="I252" s="2" t="s">
        <v>5</v>
      </c>
      <c r="J252" s="2" t="s">
        <v>6</v>
      </c>
      <c r="K252" s="2" t="s">
        <v>45</v>
      </c>
      <c r="L252" s="2" t="s">
        <v>46</v>
      </c>
      <c r="M252" s="2" t="s">
        <v>47</v>
      </c>
      <c r="N252" s="2" t="s">
        <v>48</v>
      </c>
      <c r="O252" s="2" t="s">
        <v>49</v>
      </c>
      <c r="P252" s="2" t="s">
        <v>24</v>
      </c>
      <c r="Q252" s="2" t="s">
        <v>50</v>
      </c>
      <c r="R252" s="2" t="s">
        <v>51</v>
      </c>
      <c r="S252" s="2" t="s">
        <v>52</v>
      </c>
      <c r="T252" s="2" t="s">
        <v>53</v>
      </c>
    </row>
    <row r="253" spans="1:27" hidden="1" outlineLevel="1" collapsed="1" x14ac:dyDescent="0.2">
      <c r="A253" t="s">
        <v>37</v>
      </c>
      <c r="B253" s="4" t="s">
        <v>38</v>
      </c>
      <c r="C253" s="4" t="s">
        <v>683</v>
      </c>
      <c r="D253" s="4" t="s">
        <v>684</v>
      </c>
      <c r="E253" s="4">
        <v>0.32775599999999999</v>
      </c>
      <c r="F253" s="4">
        <v>5.0826200000000004E-3</v>
      </c>
      <c r="G253" s="4">
        <v>1</v>
      </c>
      <c r="H253" s="4">
        <v>1</v>
      </c>
      <c r="I253" s="4">
        <v>1</v>
      </c>
      <c r="J253" s="4">
        <v>1</v>
      </c>
      <c r="K253" s="4" t="s">
        <v>672</v>
      </c>
      <c r="L253" s="4" t="s">
        <v>685</v>
      </c>
      <c r="M253" s="4" t="s">
        <v>686</v>
      </c>
      <c r="N253" s="4">
        <v>0</v>
      </c>
      <c r="O253" s="4">
        <v>2356.1964899999998</v>
      </c>
      <c r="P253" s="4" t="s">
        <v>38</v>
      </c>
      <c r="Q253" s="4" t="s">
        <v>38</v>
      </c>
      <c r="R253" s="4">
        <v>1.3159999999999999E-3</v>
      </c>
      <c r="S253" s="4">
        <v>0.1547</v>
      </c>
      <c r="T253" s="4">
        <v>3.73</v>
      </c>
    </row>
    <row r="254" spans="1:27" collapsed="1" x14ac:dyDescent="0.2">
      <c r="A254" s="3" t="s">
        <v>27</v>
      </c>
      <c r="B254" s="3" t="s">
        <v>687</v>
      </c>
      <c r="C254" s="3" t="s">
        <v>688</v>
      </c>
      <c r="D254" s="3">
        <v>2</v>
      </c>
      <c r="E254" s="3">
        <v>1</v>
      </c>
      <c r="F254" s="3">
        <v>1</v>
      </c>
      <c r="G254" s="3">
        <v>1</v>
      </c>
      <c r="H254" s="3">
        <v>1</v>
      </c>
      <c r="I254" s="3">
        <v>888</v>
      </c>
      <c r="J254" s="3">
        <v>100.9</v>
      </c>
      <c r="K254" s="3">
        <v>8.57</v>
      </c>
      <c r="L254" s="3">
        <v>3.69</v>
      </c>
      <c r="M254" s="3">
        <v>1</v>
      </c>
      <c r="N254" s="3" t="s">
        <v>689</v>
      </c>
      <c r="O254" s="3" t="s">
        <v>222</v>
      </c>
      <c r="P254" s="3" t="s">
        <v>121</v>
      </c>
      <c r="Q254" s="3" t="s">
        <v>37</v>
      </c>
      <c r="R254" s="3" t="s">
        <v>690</v>
      </c>
      <c r="S254" s="3" t="s">
        <v>691</v>
      </c>
      <c r="T254" s="3" t="s">
        <v>692</v>
      </c>
      <c r="U254" s="3" t="s">
        <v>37</v>
      </c>
      <c r="V254" s="3" t="s">
        <v>37</v>
      </c>
      <c r="W254" s="3" t="s">
        <v>37</v>
      </c>
      <c r="X254" s="3">
        <v>0</v>
      </c>
      <c r="Y254" s="3" t="s">
        <v>38</v>
      </c>
      <c r="Z254" s="3">
        <v>1</v>
      </c>
      <c r="AA254" s="3" t="s">
        <v>37</v>
      </c>
    </row>
    <row r="255" spans="1:27" hidden="1" outlineLevel="1" collapsed="1" x14ac:dyDescent="0.2">
      <c r="A255" t="s">
        <v>37</v>
      </c>
      <c r="B255" s="2" t="s">
        <v>40</v>
      </c>
      <c r="C255" s="2" t="s">
        <v>41</v>
      </c>
      <c r="D255" s="2" t="s">
        <v>26</v>
      </c>
      <c r="E255" s="2" t="s">
        <v>42</v>
      </c>
      <c r="F255" s="2" t="s">
        <v>43</v>
      </c>
      <c r="G255" s="2" t="s">
        <v>25</v>
      </c>
      <c r="H255" s="2" t="s">
        <v>44</v>
      </c>
      <c r="I255" s="2" t="s">
        <v>5</v>
      </c>
      <c r="J255" s="2" t="s">
        <v>6</v>
      </c>
      <c r="K255" s="2" t="s">
        <v>45</v>
      </c>
      <c r="L255" s="2" t="s">
        <v>46</v>
      </c>
      <c r="M255" s="2" t="s">
        <v>47</v>
      </c>
      <c r="N255" s="2" t="s">
        <v>48</v>
      </c>
      <c r="O255" s="2" t="s">
        <v>49</v>
      </c>
      <c r="P255" s="2" t="s">
        <v>24</v>
      </c>
      <c r="Q255" s="2" t="s">
        <v>50</v>
      </c>
      <c r="R255" s="2" t="s">
        <v>51</v>
      </c>
      <c r="S255" s="2" t="s">
        <v>52</v>
      </c>
      <c r="T255" s="2" t="s">
        <v>53</v>
      </c>
    </row>
    <row r="256" spans="1:27" hidden="1" outlineLevel="1" collapsed="1" x14ac:dyDescent="0.2">
      <c r="A256" t="s">
        <v>37</v>
      </c>
      <c r="B256" s="4" t="s">
        <v>38</v>
      </c>
      <c r="C256" s="4" t="s">
        <v>693</v>
      </c>
      <c r="D256" s="4" t="s">
        <v>37</v>
      </c>
      <c r="E256" s="4">
        <v>0.26634600000000003</v>
      </c>
      <c r="F256" s="4">
        <v>5.0826200000000004E-3</v>
      </c>
      <c r="G256" s="4">
        <v>1</v>
      </c>
      <c r="H256" s="4">
        <v>1</v>
      </c>
      <c r="I256" s="4">
        <v>1</v>
      </c>
      <c r="J256" s="4">
        <v>1</v>
      </c>
      <c r="K256" s="4" t="s">
        <v>687</v>
      </c>
      <c r="L256" s="4" t="s">
        <v>694</v>
      </c>
      <c r="M256" s="4" t="s">
        <v>37</v>
      </c>
      <c r="N256" s="4">
        <v>1</v>
      </c>
      <c r="O256" s="4">
        <v>2523.4180999999999</v>
      </c>
      <c r="P256" s="4" t="s">
        <v>38</v>
      </c>
      <c r="Q256" s="4" t="s">
        <v>38</v>
      </c>
      <c r="R256" s="4">
        <v>1.3159999999999999E-3</v>
      </c>
      <c r="S256" s="4">
        <v>0.112</v>
      </c>
      <c r="T256" s="4">
        <v>3.69</v>
      </c>
    </row>
    <row r="257" spans="1:27" collapsed="1" x14ac:dyDescent="0.2">
      <c r="A257" s="3" t="s">
        <v>27</v>
      </c>
      <c r="B257" s="3" t="s">
        <v>695</v>
      </c>
      <c r="C257" s="3" t="s">
        <v>696</v>
      </c>
      <c r="D257" s="3">
        <v>14</v>
      </c>
      <c r="E257" s="3">
        <v>1</v>
      </c>
      <c r="F257" s="3">
        <v>1</v>
      </c>
      <c r="G257" s="3">
        <v>1</v>
      </c>
      <c r="H257" s="3">
        <v>1</v>
      </c>
      <c r="I257" s="3">
        <v>138</v>
      </c>
      <c r="J257" s="3">
        <v>15.1</v>
      </c>
      <c r="K257" s="3">
        <v>10.93</v>
      </c>
      <c r="L257" s="3">
        <v>3.42</v>
      </c>
      <c r="M257" s="3">
        <v>1</v>
      </c>
      <c r="N257" s="3" t="s">
        <v>697</v>
      </c>
      <c r="O257" s="3" t="s">
        <v>652</v>
      </c>
      <c r="P257" s="3" t="s">
        <v>526</v>
      </c>
      <c r="Q257" s="3" t="s">
        <v>698</v>
      </c>
      <c r="R257" s="3" t="s">
        <v>699</v>
      </c>
      <c r="S257" s="3" t="s">
        <v>700</v>
      </c>
      <c r="T257" s="3" t="s">
        <v>701</v>
      </c>
      <c r="U257" s="3" t="s">
        <v>583</v>
      </c>
      <c r="V257" s="3" t="s">
        <v>37</v>
      </c>
      <c r="W257" s="3" t="s">
        <v>37</v>
      </c>
      <c r="X257" s="3">
        <v>6</v>
      </c>
      <c r="Y257" s="3" t="s">
        <v>38</v>
      </c>
      <c r="Z257" s="3">
        <v>1</v>
      </c>
      <c r="AA257" s="3" t="s">
        <v>37</v>
      </c>
    </row>
    <row r="258" spans="1:27" hidden="1" outlineLevel="1" collapsed="1" x14ac:dyDescent="0.2">
      <c r="A258" t="s">
        <v>37</v>
      </c>
      <c r="B258" s="2" t="s">
        <v>40</v>
      </c>
      <c r="C258" s="2" t="s">
        <v>41</v>
      </c>
      <c r="D258" s="2" t="s">
        <v>26</v>
      </c>
      <c r="E258" s="2" t="s">
        <v>42</v>
      </c>
      <c r="F258" s="2" t="s">
        <v>43</v>
      </c>
      <c r="G258" s="2" t="s">
        <v>25</v>
      </c>
      <c r="H258" s="2" t="s">
        <v>44</v>
      </c>
      <c r="I258" s="2" t="s">
        <v>5</v>
      </c>
      <c r="J258" s="2" t="s">
        <v>6</v>
      </c>
      <c r="K258" s="2" t="s">
        <v>45</v>
      </c>
      <c r="L258" s="2" t="s">
        <v>46</v>
      </c>
      <c r="M258" s="2" t="s">
        <v>47</v>
      </c>
      <c r="N258" s="2" t="s">
        <v>48</v>
      </c>
      <c r="O258" s="2" t="s">
        <v>49</v>
      </c>
      <c r="P258" s="2" t="s">
        <v>24</v>
      </c>
      <c r="Q258" s="2" t="s">
        <v>50</v>
      </c>
      <c r="R258" s="2" t="s">
        <v>51</v>
      </c>
      <c r="S258" s="2" t="s">
        <v>52</v>
      </c>
      <c r="T258" s="2" t="s">
        <v>53</v>
      </c>
    </row>
    <row r="259" spans="1:27" hidden="1" outlineLevel="1" collapsed="1" x14ac:dyDescent="0.2">
      <c r="A259" t="s">
        <v>37</v>
      </c>
      <c r="B259" s="4" t="s">
        <v>38</v>
      </c>
      <c r="C259" s="4" t="s">
        <v>702</v>
      </c>
      <c r="D259" s="4" t="s">
        <v>37</v>
      </c>
      <c r="E259" s="4">
        <v>1.5523500000000001E-2</v>
      </c>
      <c r="F259" s="4">
        <v>5.0826200000000004E-3</v>
      </c>
      <c r="G259" s="4">
        <v>1</v>
      </c>
      <c r="H259" s="4">
        <v>2</v>
      </c>
      <c r="I259" s="4">
        <v>1</v>
      </c>
      <c r="J259" s="4">
        <v>1</v>
      </c>
      <c r="K259" s="4" t="s">
        <v>695</v>
      </c>
      <c r="L259" s="4" t="s">
        <v>703</v>
      </c>
      <c r="M259" s="4" t="s">
        <v>37</v>
      </c>
      <c r="N259" s="4">
        <v>0</v>
      </c>
      <c r="O259" s="4">
        <v>2051.2011699999998</v>
      </c>
      <c r="P259" s="4" t="s">
        <v>38</v>
      </c>
      <c r="Q259" s="4" t="s">
        <v>38</v>
      </c>
      <c r="R259" s="4">
        <v>1.3159999999999999E-3</v>
      </c>
      <c r="S259" s="4">
        <v>1.867E-3</v>
      </c>
      <c r="T259" s="4">
        <v>3.42</v>
      </c>
    </row>
    <row r="260" spans="1:27" collapsed="1" x14ac:dyDescent="0.2">
      <c r="A260" s="3" t="s">
        <v>27</v>
      </c>
      <c r="B260" s="3" t="s">
        <v>704</v>
      </c>
      <c r="C260" s="3" t="s">
        <v>705</v>
      </c>
      <c r="D260" s="3">
        <v>7</v>
      </c>
      <c r="E260" s="3">
        <v>1</v>
      </c>
      <c r="F260" s="3">
        <v>1</v>
      </c>
      <c r="G260" s="3">
        <v>1</v>
      </c>
      <c r="H260" s="3">
        <v>1</v>
      </c>
      <c r="I260" s="3">
        <v>240</v>
      </c>
      <c r="J260" s="3">
        <v>26.5</v>
      </c>
      <c r="K260" s="3">
        <v>9.41</v>
      </c>
      <c r="L260" s="3">
        <v>3.34</v>
      </c>
      <c r="M260" s="3">
        <v>1</v>
      </c>
      <c r="N260" s="3" t="s">
        <v>706</v>
      </c>
      <c r="O260" s="3" t="s">
        <v>707</v>
      </c>
      <c r="P260" s="3" t="s">
        <v>526</v>
      </c>
      <c r="Q260" s="3" t="s">
        <v>708</v>
      </c>
      <c r="R260" s="3" t="s">
        <v>709</v>
      </c>
      <c r="S260" s="3" t="s">
        <v>710</v>
      </c>
      <c r="T260" s="3" t="s">
        <v>711</v>
      </c>
      <c r="U260" s="3" t="s">
        <v>712</v>
      </c>
      <c r="V260" s="3" t="s">
        <v>37</v>
      </c>
      <c r="W260" s="3" t="s">
        <v>37</v>
      </c>
      <c r="X260" s="3">
        <v>9</v>
      </c>
      <c r="Y260" s="3" t="s">
        <v>38</v>
      </c>
      <c r="Z260" s="3">
        <v>1</v>
      </c>
      <c r="AA260" s="3" t="s">
        <v>37</v>
      </c>
    </row>
    <row r="261" spans="1:27" hidden="1" outlineLevel="1" collapsed="1" x14ac:dyDescent="0.2">
      <c r="A261" t="s">
        <v>37</v>
      </c>
      <c r="B261" s="2" t="s">
        <v>40</v>
      </c>
      <c r="C261" s="2" t="s">
        <v>41</v>
      </c>
      <c r="D261" s="2" t="s">
        <v>26</v>
      </c>
      <c r="E261" s="2" t="s">
        <v>42</v>
      </c>
      <c r="F261" s="2" t="s">
        <v>43</v>
      </c>
      <c r="G261" s="2" t="s">
        <v>25</v>
      </c>
      <c r="H261" s="2" t="s">
        <v>44</v>
      </c>
      <c r="I261" s="2" t="s">
        <v>5</v>
      </c>
      <c r="J261" s="2" t="s">
        <v>6</v>
      </c>
      <c r="K261" s="2" t="s">
        <v>45</v>
      </c>
      <c r="L261" s="2" t="s">
        <v>46</v>
      </c>
      <c r="M261" s="2" t="s">
        <v>47</v>
      </c>
      <c r="N261" s="2" t="s">
        <v>48</v>
      </c>
      <c r="O261" s="2" t="s">
        <v>49</v>
      </c>
      <c r="P261" s="2" t="s">
        <v>24</v>
      </c>
      <c r="Q261" s="2" t="s">
        <v>50</v>
      </c>
      <c r="R261" s="2" t="s">
        <v>51</v>
      </c>
      <c r="S261" s="2" t="s">
        <v>52</v>
      </c>
      <c r="T261" s="2" t="s">
        <v>53</v>
      </c>
    </row>
    <row r="262" spans="1:27" hidden="1" outlineLevel="1" collapsed="1" x14ac:dyDescent="0.2">
      <c r="A262" t="s">
        <v>37</v>
      </c>
      <c r="B262" s="4" t="s">
        <v>38</v>
      </c>
      <c r="C262" s="4" t="s">
        <v>713</v>
      </c>
      <c r="D262" s="4" t="s">
        <v>37</v>
      </c>
      <c r="E262" s="4">
        <v>0.209671</v>
      </c>
      <c r="F262" s="4">
        <v>5.0826200000000004E-3</v>
      </c>
      <c r="G262" s="4">
        <v>1</v>
      </c>
      <c r="H262" s="4">
        <v>1</v>
      </c>
      <c r="I262" s="4">
        <v>1</v>
      </c>
      <c r="J262" s="4">
        <v>1</v>
      </c>
      <c r="K262" s="4" t="s">
        <v>704</v>
      </c>
      <c r="L262" s="4" t="s">
        <v>714</v>
      </c>
      <c r="M262" s="4" t="s">
        <v>37</v>
      </c>
      <c r="N262" s="4">
        <v>0</v>
      </c>
      <c r="O262" s="4">
        <v>1990.9909</v>
      </c>
      <c r="P262" s="4" t="s">
        <v>38</v>
      </c>
      <c r="Q262" s="4" t="s">
        <v>38</v>
      </c>
      <c r="R262" s="4">
        <v>1.3159999999999999E-3</v>
      </c>
      <c r="S262" s="4">
        <v>7.7719999999999997E-2</v>
      </c>
      <c r="T262" s="4">
        <v>3.34</v>
      </c>
    </row>
    <row r="263" spans="1:27" collapsed="1" x14ac:dyDescent="0.2">
      <c r="A263" s="3" t="s">
        <v>27</v>
      </c>
      <c r="B263" s="3" t="s">
        <v>715</v>
      </c>
      <c r="C263" s="3" t="s">
        <v>716</v>
      </c>
      <c r="D263" s="3">
        <v>12</v>
      </c>
      <c r="E263" s="3">
        <v>1</v>
      </c>
      <c r="F263" s="3">
        <v>1</v>
      </c>
      <c r="G263" s="3">
        <v>1</v>
      </c>
      <c r="H263" s="3">
        <v>1</v>
      </c>
      <c r="I263" s="3">
        <v>254</v>
      </c>
      <c r="J263" s="3">
        <v>27.4</v>
      </c>
      <c r="K263" s="3">
        <v>11.11</v>
      </c>
      <c r="L263" s="3">
        <v>3.26</v>
      </c>
      <c r="M263" s="3">
        <v>1</v>
      </c>
      <c r="N263" s="3" t="s">
        <v>651</v>
      </c>
      <c r="O263" s="3" t="s">
        <v>652</v>
      </c>
      <c r="P263" s="3" t="s">
        <v>526</v>
      </c>
      <c r="Q263" s="3" t="s">
        <v>717</v>
      </c>
      <c r="R263" s="3" t="s">
        <v>718</v>
      </c>
      <c r="S263" s="3" t="s">
        <v>719</v>
      </c>
      <c r="T263" s="3" t="s">
        <v>720</v>
      </c>
      <c r="U263" s="3" t="s">
        <v>583</v>
      </c>
      <c r="V263" s="3" t="s">
        <v>37</v>
      </c>
      <c r="W263" s="3" t="s">
        <v>37</v>
      </c>
      <c r="X263" s="3">
        <v>6</v>
      </c>
      <c r="Y263" s="3" t="s">
        <v>38</v>
      </c>
      <c r="Z263" s="3">
        <v>1</v>
      </c>
      <c r="AA263" s="3" t="s">
        <v>37</v>
      </c>
    </row>
    <row r="264" spans="1:27" hidden="1" outlineLevel="1" collapsed="1" x14ac:dyDescent="0.2">
      <c r="A264" t="s">
        <v>37</v>
      </c>
      <c r="B264" s="2" t="s">
        <v>40</v>
      </c>
      <c r="C264" s="2" t="s">
        <v>41</v>
      </c>
      <c r="D264" s="2" t="s">
        <v>26</v>
      </c>
      <c r="E264" s="2" t="s">
        <v>42</v>
      </c>
      <c r="F264" s="2" t="s">
        <v>43</v>
      </c>
      <c r="G264" s="2" t="s">
        <v>25</v>
      </c>
      <c r="H264" s="2" t="s">
        <v>44</v>
      </c>
      <c r="I264" s="2" t="s">
        <v>5</v>
      </c>
      <c r="J264" s="2" t="s">
        <v>6</v>
      </c>
      <c r="K264" s="2" t="s">
        <v>45</v>
      </c>
      <c r="L264" s="2" t="s">
        <v>46</v>
      </c>
      <c r="M264" s="2" t="s">
        <v>47</v>
      </c>
      <c r="N264" s="2" t="s">
        <v>48</v>
      </c>
      <c r="O264" s="2" t="s">
        <v>49</v>
      </c>
      <c r="P264" s="2" t="s">
        <v>24</v>
      </c>
      <c r="Q264" s="2" t="s">
        <v>50</v>
      </c>
      <c r="R264" s="2" t="s">
        <v>51</v>
      </c>
      <c r="S264" s="2" t="s">
        <v>52</v>
      </c>
      <c r="T264" s="2" t="s">
        <v>53</v>
      </c>
    </row>
    <row r="265" spans="1:27" hidden="1" outlineLevel="1" collapsed="1" x14ac:dyDescent="0.2">
      <c r="A265" t="s">
        <v>37</v>
      </c>
      <c r="B265" s="4" t="s">
        <v>38</v>
      </c>
      <c r="C265" s="4" t="s">
        <v>721</v>
      </c>
      <c r="D265" s="4" t="s">
        <v>37</v>
      </c>
      <c r="E265" s="4">
        <v>0.242149</v>
      </c>
      <c r="F265" s="4">
        <v>5.0826200000000004E-3</v>
      </c>
      <c r="G265" s="4">
        <v>1</v>
      </c>
      <c r="H265" s="4">
        <v>1</v>
      </c>
      <c r="I265" s="4">
        <v>1</v>
      </c>
      <c r="J265" s="4">
        <v>1</v>
      </c>
      <c r="K265" s="4" t="s">
        <v>715</v>
      </c>
      <c r="L265" s="4" t="s">
        <v>722</v>
      </c>
      <c r="M265" s="4" t="s">
        <v>37</v>
      </c>
      <c r="N265" s="4">
        <v>0</v>
      </c>
      <c r="O265" s="4">
        <v>3047.60077</v>
      </c>
      <c r="P265" s="4" t="s">
        <v>38</v>
      </c>
      <c r="Q265" s="4" t="s">
        <v>38</v>
      </c>
      <c r="R265" s="4">
        <v>1.3159999999999999E-3</v>
      </c>
      <c r="S265" s="4">
        <v>9.6670000000000006E-2</v>
      </c>
      <c r="T265" s="4">
        <v>3.26</v>
      </c>
    </row>
    <row r="266" spans="1:27" collapsed="1" x14ac:dyDescent="0.2">
      <c r="A266" s="3" t="s">
        <v>27</v>
      </c>
      <c r="B266" s="3" t="s">
        <v>723</v>
      </c>
      <c r="C266" s="3" t="s">
        <v>724</v>
      </c>
      <c r="D266" s="3">
        <v>7</v>
      </c>
      <c r="E266" s="3">
        <v>1</v>
      </c>
      <c r="F266" s="3">
        <v>1</v>
      </c>
      <c r="G266" s="3">
        <v>1</v>
      </c>
      <c r="H266" s="3">
        <v>1</v>
      </c>
      <c r="I266" s="3">
        <v>236</v>
      </c>
      <c r="J266" s="3">
        <v>27</v>
      </c>
      <c r="K266" s="3">
        <v>10.45</v>
      </c>
      <c r="L266" s="3">
        <v>3.26</v>
      </c>
      <c r="M266" s="3">
        <v>1</v>
      </c>
      <c r="N266" s="3" t="s">
        <v>725</v>
      </c>
      <c r="O266" s="3" t="s">
        <v>707</v>
      </c>
      <c r="P266" s="3" t="s">
        <v>32</v>
      </c>
      <c r="Q266" s="3" t="s">
        <v>726</v>
      </c>
      <c r="R266" s="3" t="s">
        <v>727</v>
      </c>
      <c r="S266" s="3" t="s">
        <v>728</v>
      </c>
      <c r="T266" s="3" t="s">
        <v>729</v>
      </c>
      <c r="U266" s="3" t="s">
        <v>730</v>
      </c>
      <c r="V266" s="3" t="s">
        <v>37</v>
      </c>
      <c r="W266" s="3" t="s">
        <v>37</v>
      </c>
      <c r="X266" s="3">
        <v>10</v>
      </c>
      <c r="Y266" s="3" t="s">
        <v>38</v>
      </c>
      <c r="Z266" s="3">
        <v>1</v>
      </c>
      <c r="AA266" s="3" t="s">
        <v>37</v>
      </c>
    </row>
    <row r="267" spans="1:27" hidden="1" outlineLevel="1" collapsed="1" x14ac:dyDescent="0.2">
      <c r="A267" t="s">
        <v>37</v>
      </c>
      <c r="B267" s="2" t="s">
        <v>40</v>
      </c>
      <c r="C267" s="2" t="s">
        <v>41</v>
      </c>
      <c r="D267" s="2" t="s">
        <v>26</v>
      </c>
      <c r="E267" s="2" t="s">
        <v>42</v>
      </c>
      <c r="F267" s="2" t="s">
        <v>43</v>
      </c>
      <c r="G267" s="2" t="s">
        <v>25</v>
      </c>
      <c r="H267" s="2" t="s">
        <v>44</v>
      </c>
      <c r="I267" s="2" t="s">
        <v>5</v>
      </c>
      <c r="J267" s="2" t="s">
        <v>6</v>
      </c>
      <c r="K267" s="2" t="s">
        <v>45</v>
      </c>
      <c r="L267" s="2" t="s">
        <v>46</v>
      </c>
      <c r="M267" s="2" t="s">
        <v>47</v>
      </c>
      <c r="N267" s="2" t="s">
        <v>48</v>
      </c>
      <c r="O267" s="2" t="s">
        <v>49</v>
      </c>
      <c r="P267" s="2" t="s">
        <v>24</v>
      </c>
      <c r="Q267" s="2" t="s">
        <v>50</v>
      </c>
      <c r="R267" s="2" t="s">
        <v>51</v>
      </c>
      <c r="S267" s="2" t="s">
        <v>52</v>
      </c>
      <c r="T267" s="2" t="s">
        <v>53</v>
      </c>
    </row>
    <row r="268" spans="1:27" hidden="1" outlineLevel="1" collapsed="1" x14ac:dyDescent="0.2">
      <c r="A268" t="s">
        <v>37</v>
      </c>
      <c r="B268" s="4" t="s">
        <v>38</v>
      </c>
      <c r="C268" s="4" t="s">
        <v>731</v>
      </c>
      <c r="D268" s="4" t="s">
        <v>37</v>
      </c>
      <c r="E268" s="4">
        <v>5.9950699999999999E-3</v>
      </c>
      <c r="F268" s="4">
        <v>5.0826200000000004E-3</v>
      </c>
      <c r="G268" s="4">
        <v>1</v>
      </c>
      <c r="H268" s="4">
        <v>1</v>
      </c>
      <c r="I268" s="4">
        <v>1</v>
      </c>
      <c r="J268" s="4">
        <v>1</v>
      </c>
      <c r="K268" s="4" t="s">
        <v>723</v>
      </c>
      <c r="L268" s="4" t="s">
        <v>732</v>
      </c>
      <c r="M268" s="4" t="s">
        <v>37</v>
      </c>
      <c r="N268" s="4">
        <v>0</v>
      </c>
      <c r="O268" s="4">
        <v>1648.0407499999999</v>
      </c>
      <c r="P268" s="4" t="s">
        <v>38</v>
      </c>
      <c r="Q268" s="4" t="s">
        <v>38</v>
      </c>
      <c r="R268" s="4">
        <v>1.3159999999999999E-3</v>
      </c>
      <c r="S268" s="4">
        <v>4.908E-4</v>
      </c>
      <c r="T268" s="4">
        <v>3.26</v>
      </c>
    </row>
    <row r="269" spans="1:27" collapsed="1" x14ac:dyDescent="0.2">
      <c r="A269" s="3" t="s">
        <v>27</v>
      </c>
      <c r="B269" s="3" t="s">
        <v>733</v>
      </c>
      <c r="C269" s="3" t="s">
        <v>734</v>
      </c>
      <c r="D269" s="3">
        <v>18</v>
      </c>
      <c r="E269" s="3">
        <v>1</v>
      </c>
      <c r="F269" s="3">
        <v>1</v>
      </c>
      <c r="G269" s="3">
        <v>1</v>
      </c>
      <c r="H269" s="3">
        <v>1</v>
      </c>
      <c r="I269" s="3">
        <v>105</v>
      </c>
      <c r="J269" s="3">
        <v>11.4</v>
      </c>
      <c r="K269" s="3">
        <v>9.8000000000000007</v>
      </c>
      <c r="L269" s="3">
        <v>2.97</v>
      </c>
      <c r="M269" s="3">
        <v>1</v>
      </c>
      <c r="N269" s="3" t="s">
        <v>735</v>
      </c>
      <c r="O269" s="3" t="s">
        <v>578</v>
      </c>
      <c r="P269" s="3" t="s">
        <v>526</v>
      </c>
      <c r="Q269" s="3" t="s">
        <v>736</v>
      </c>
      <c r="R269" s="3" t="s">
        <v>737</v>
      </c>
      <c r="S269" s="3" t="s">
        <v>738</v>
      </c>
      <c r="T269" s="3" t="s">
        <v>739</v>
      </c>
      <c r="U269" s="3" t="s">
        <v>583</v>
      </c>
      <c r="V269" s="3" t="s">
        <v>37</v>
      </c>
      <c r="W269" s="3" t="s">
        <v>37</v>
      </c>
      <c r="X269" s="3">
        <v>6</v>
      </c>
      <c r="Y269" s="3" t="s">
        <v>38</v>
      </c>
      <c r="Z269" s="3">
        <v>1</v>
      </c>
      <c r="AA269" s="3" t="s">
        <v>37</v>
      </c>
    </row>
    <row r="270" spans="1:27" hidden="1" outlineLevel="1" collapsed="1" x14ac:dyDescent="0.2">
      <c r="A270" t="s">
        <v>37</v>
      </c>
      <c r="B270" s="2" t="s">
        <v>40</v>
      </c>
      <c r="C270" s="2" t="s">
        <v>41</v>
      </c>
      <c r="D270" s="2" t="s">
        <v>26</v>
      </c>
      <c r="E270" s="2" t="s">
        <v>42</v>
      </c>
      <c r="F270" s="2" t="s">
        <v>43</v>
      </c>
      <c r="G270" s="2" t="s">
        <v>25</v>
      </c>
      <c r="H270" s="2" t="s">
        <v>44</v>
      </c>
      <c r="I270" s="2" t="s">
        <v>5</v>
      </c>
      <c r="J270" s="2" t="s">
        <v>6</v>
      </c>
      <c r="K270" s="2" t="s">
        <v>45</v>
      </c>
      <c r="L270" s="2" t="s">
        <v>46</v>
      </c>
      <c r="M270" s="2" t="s">
        <v>47</v>
      </c>
      <c r="N270" s="2" t="s">
        <v>48</v>
      </c>
      <c r="O270" s="2" t="s">
        <v>49</v>
      </c>
      <c r="P270" s="2" t="s">
        <v>24</v>
      </c>
      <c r="Q270" s="2" t="s">
        <v>50</v>
      </c>
      <c r="R270" s="2" t="s">
        <v>51</v>
      </c>
      <c r="S270" s="2" t="s">
        <v>52</v>
      </c>
      <c r="T270" s="2" t="s">
        <v>53</v>
      </c>
    </row>
    <row r="271" spans="1:27" hidden="1" outlineLevel="1" collapsed="1" x14ac:dyDescent="0.2">
      <c r="A271" t="s">
        <v>37</v>
      </c>
      <c r="B271" s="4" t="s">
        <v>38</v>
      </c>
      <c r="C271" s="4" t="s">
        <v>740</v>
      </c>
      <c r="D271" s="4" t="s">
        <v>37</v>
      </c>
      <c r="E271" s="4">
        <v>0.30931199999999998</v>
      </c>
      <c r="F271" s="4">
        <v>5.0826200000000004E-3</v>
      </c>
      <c r="G271" s="4">
        <v>1</v>
      </c>
      <c r="H271" s="4">
        <v>1</v>
      </c>
      <c r="I271" s="4">
        <v>1</v>
      </c>
      <c r="J271" s="4">
        <v>1</v>
      </c>
      <c r="K271" s="4" t="s">
        <v>733</v>
      </c>
      <c r="L271" s="4" t="s">
        <v>741</v>
      </c>
      <c r="M271" s="4" t="s">
        <v>37</v>
      </c>
      <c r="N271" s="4">
        <v>0</v>
      </c>
      <c r="O271" s="4">
        <v>1873.0164500000001</v>
      </c>
      <c r="P271" s="4" t="s">
        <v>38</v>
      </c>
      <c r="Q271" s="4" t="s">
        <v>38</v>
      </c>
      <c r="R271" s="4">
        <v>1.3159999999999999E-3</v>
      </c>
      <c r="S271" s="4">
        <v>0.14119999999999999</v>
      </c>
      <c r="T271" s="4">
        <v>2.97</v>
      </c>
    </row>
    <row r="272" spans="1:27" collapsed="1" x14ac:dyDescent="0.2">
      <c r="A272" s="3" t="s">
        <v>27</v>
      </c>
      <c r="B272" s="3" t="s">
        <v>742</v>
      </c>
      <c r="C272" s="3" t="s">
        <v>743</v>
      </c>
      <c r="D272" s="3">
        <v>15</v>
      </c>
      <c r="E272" s="3">
        <v>1</v>
      </c>
      <c r="F272" s="3">
        <v>1</v>
      </c>
      <c r="G272" s="3">
        <v>1</v>
      </c>
      <c r="H272" s="3">
        <v>1</v>
      </c>
      <c r="I272" s="3">
        <v>107</v>
      </c>
      <c r="J272" s="3">
        <v>12.1</v>
      </c>
      <c r="K272" s="3">
        <v>11.08</v>
      </c>
      <c r="L272" s="3">
        <v>2.91</v>
      </c>
      <c r="M272" s="3">
        <v>1</v>
      </c>
      <c r="N272" s="3" t="s">
        <v>697</v>
      </c>
      <c r="O272" s="3" t="s">
        <v>652</v>
      </c>
      <c r="P272" s="3" t="s">
        <v>32</v>
      </c>
      <c r="Q272" s="3" t="s">
        <v>744</v>
      </c>
      <c r="R272" s="3" t="s">
        <v>745</v>
      </c>
      <c r="S272" s="3" t="s">
        <v>746</v>
      </c>
      <c r="T272" s="3" t="s">
        <v>747</v>
      </c>
      <c r="U272" s="3" t="s">
        <v>583</v>
      </c>
      <c r="V272" s="3" t="s">
        <v>37</v>
      </c>
      <c r="W272" s="3" t="s">
        <v>37</v>
      </c>
      <c r="X272" s="3">
        <v>6</v>
      </c>
      <c r="Y272" s="3" t="s">
        <v>38</v>
      </c>
      <c r="Z272" s="3">
        <v>1</v>
      </c>
      <c r="AA272" s="3" t="s">
        <v>37</v>
      </c>
    </row>
    <row r="273" spans="1:27" hidden="1" outlineLevel="1" collapsed="1" x14ac:dyDescent="0.2">
      <c r="A273" t="s">
        <v>37</v>
      </c>
      <c r="B273" s="2" t="s">
        <v>40</v>
      </c>
      <c r="C273" s="2" t="s">
        <v>41</v>
      </c>
      <c r="D273" s="2" t="s">
        <v>26</v>
      </c>
      <c r="E273" s="2" t="s">
        <v>42</v>
      </c>
      <c r="F273" s="2" t="s">
        <v>43</v>
      </c>
      <c r="G273" s="2" t="s">
        <v>25</v>
      </c>
      <c r="H273" s="2" t="s">
        <v>44</v>
      </c>
      <c r="I273" s="2" t="s">
        <v>5</v>
      </c>
      <c r="J273" s="2" t="s">
        <v>6</v>
      </c>
      <c r="K273" s="2" t="s">
        <v>45</v>
      </c>
      <c r="L273" s="2" t="s">
        <v>46</v>
      </c>
      <c r="M273" s="2" t="s">
        <v>47</v>
      </c>
      <c r="N273" s="2" t="s">
        <v>48</v>
      </c>
      <c r="O273" s="2" t="s">
        <v>49</v>
      </c>
      <c r="P273" s="2" t="s">
        <v>24</v>
      </c>
      <c r="Q273" s="2" t="s">
        <v>50</v>
      </c>
      <c r="R273" s="2" t="s">
        <v>51</v>
      </c>
      <c r="S273" s="2" t="s">
        <v>52</v>
      </c>
      <c r="T273" s="2" t="s">
        <v>53</v>
      </c>
    </row>
    <row r="274" spans="1:27" hidden="1" outlineLevel="1" collapsed="1" x14ac:dyDescent="0.2">
      <c r="A274" t="s">
        <v>37</v>
      </c>
      <c r="B274" s="4" t="s">
        <v>38</v>
      </c>
      <c r="C274" s="4" t="s">
        <v>748</v>
      </c>
      <c r="D274" s="4" t="s">
        <v>37</v>
      </c>
      <c r="E274" s="4">
        <v>0.222445</v>
      </c>
      <c r="F274" s="4">
        <v>5.0826200000000004E-3</v>
      </c>
      <c r="G274" s="4">
        <v>1</v>
      </c>
      <c r="H274" s="4">
        <v>1</v>
      </c>
      <c r="I274" s="4">
        <v>1</v>
      </c>
      <c r="J274" s="4">
        <v>1</v>
      </c>
      <c r="K274" s="4" t="s">
        <v>742</v>
      </c>
      <c r="L274" s="4" t="s">
        <v>749</v>
      </c>
      <c r="M274" s="4" t="s">
        <v>37</v>
      </c>
      <c r="N274" s="4">
        <v>0</v>
      </c>
      <c r="O274" s="4">
        <v>1736.8853799999999</v>
      </c>
      <c r="P274" s="4" t="s">
        <v>38</v>
      </c>
      <c r="Q274" s="4" t="s">
        <v>38</v>
      </c>
      <c r="R274" s="4">
        <v>1.3159999999999999E-3</v>
      </c>
      <c r="S274" s="4">
        <v>8.4940000000000002E-2</v>
      </c>
      <c r="T274" s="4">
        <v>2.91</v>
      </c>
    </row>
    <row r="275" spans="1:27" collapsed="1" x14ac:dyDescent="0.2">
      <c r="A275" s="3" t="s">
        <v>27</v>
      </c>
      <c r="B275" s="3" t="s">
        <v>195</v>
      </c>
      <c r="C275" s="3" t="s">
        <v>750</v>
      </c>
      <c r="D275" s="3">
        <v>4</v>
      </c>
      <c r="E275" s="3">
        <v>1</v>
      </c>
      <c r="F275" s="3">
        <v>1</v>
      </c>
      <c r="G275" s="3">
        <v>1</v>
      </c>
      <c r="H275" s="3">
        <v>1</v>
      </c>
      <c r="I275" s="3">
        <v>348</v>
      </c>
      <c r="J275" s="3">
        <v>36.799999999999997</v>
      </c>
      <c r="K275" s="3">
        <v>6.74</v>
      </c>
      <c r="L275" s="3">
        <v>2.63</v>
      </c>
      <c r="M275" s="3">
        <v>1</v>
      </c>
      <c r="N275" s="3" t="s">
        <v>37</v>
      </c>
      <c r="O275" s="3" t="s">
        <v>37</v>
      </c>
      <c r="P275" s="3" t="s">
        <v>37</v>
      </c>
      <c r="Q275" s="3" t="s">
        <v>37</v>
      </c>
      <c r="R275" s="3" t="s">
        <v>37</v>
      </c>
      <c r="S275" s="3" t="s">
        <v>37</v>
      </c>
      <c r="T275" s="3" t="s">
        <v>195</v>
      </c>
      <c r="U275" s="3" t="s">
        <v>37</v>
      </c>
      <c r="V275" s="3" t="s">
        <v>37</v>
      </c>
      <c r="W275" s="3" t="s">
        <v>37</v>
      </c>
      <c r="X275" s="3">
        <v>0</v>
      </c>
      <c r="Y275" s="3" t="s">
        <v>38</v>
      </c>
      <c r="Z275" s="3">
        <v>1</v>
      </c>
      <c r="AA275" s="3" t="s">
        <v>37</v>
      </c>
    </row>
    <row r="276" spans="1:27" hidden="1" outlineLevel="1" collapsed="1" x14ac:dyDescent="0.2">
      <c r="A276" t="s">
        <v>37</v>
      </c>
      <c r="B276" s="2" t="s">
        <v>40</v>
      </c>
      <c r="C276" s="2" t="s">
        <v>41</v>
      </c>
      <c r="D276" s="2" t="s">
        <v>26</v>
      </c>
      <c r="E276" s="2" t="s">
        <v>42</v>
      </c>
      <c r="F276" s="2" t="s">
        <v>43</v>
      </c>
      <c r="G276" s="2" t="s">
        <v>25</v>
      </c>
      <c r="H276" s="2" t="s">
        <v>44</v>
      </c>
      <c r="I276" s="2" t="s">
        <v>5</v>
      </c>
      <c r="J276" s="2" t="s">
        <v>6</v>
      </c>
      <c r="K276" s="2" t="s">
        <v>45</v>
      </c>
      <c r="L276" s="2" t="s">
        <v>46</v>
      </c>
      <c r="M276" s="2" t="s">
        <v>47</v>
      </c>
      <c r="N276" s="2" t="s">
        <v>48</v>
      </c>
      <c r="O276" s="2" t="s">
        <v>49</v>
      </c>
      <c r="P276" s="2" t="s">
        <v>24</v>
      </c>
      <c r="Q276" s="2" t="s">
        <v>50</v>
      </c>
      <c r="R276" s="2" t="s">
        <v>51</v>
      </c>
      <c r="S276" s="2" t="s">
        <v>52</v>
      </c>
      <c r="T276" s="2" t="s">
        <v>53</v>
      </c>
    </row>
    <row r="277" spans="1:27" hidden="1" outlineLevel="1" collapsed="1" x14ac:dyDescent="0.2">
      <c r="A277" t="s">
        <v>37</v>
      </c>
      <c r="B277" s="4" t="s">
        <v>38</v>
      </c>
      <c r="C277" s="4" t="s">
        <v>751</v>
      </c>
      <c r="D277" s="4" t="s">
        <v>37</v>
      </c>
      <c r="E277" s="4">
        <v>0.32151800000000003</v>
      </c>
      <c r="F277" s="4">
        <v>5.0826200000000004E-3</v>
      </c>
      <c r="G277" s="4">
        <v>1</v>
      </c>
      <c r="H277" s="4">
        <v>2</v>
      </c>
      <c r="I277" s="4">
        <v>1</v>
      </c>
      <c r="J277" s="4">
        <v>1</v>
      </c>
      <c r="K277" s="4" t="s">
        <v>195</v>
      </c>
      <c r="L277" s="4" t="s">
        <v>752</v>
      </c>
      <c r="M277" s="4" t="s">
        <v>37</v>
      </c>
      <c r="N277" s="4">
        <v>0</v>
      </c>
      <c r="O277" s="4">
        <v>1447.8042700000001</v>
      </c>
      <c r="P277" s="4" t="s">
        <v>38</v>
      </c>
      <c r="Q277" s="4" t="s">
        <v>38</v>
      </c>
      <c r="R277" s="4">
        <v>1.3159999999999999E-3</v>
      </c>
      <c r="S277" s="4">
        <v>0.14979999999999999</v>
      </c>
      <c r="T277" s="4">
        <v>2.63</v>
      </c>
    </row>
    <row r="278" spans="1:27" collapsed="1" x14ac:dyDescent="0.2">
      <c r="A278" s="3" t="s">
        <v>27</v>
      </c>
      <c r="B278" s="3" t="s">
        <v>753</v>
      </c>
      <c r="C278" s="3" t="s">
        <v>754</v>
      </c>
      <c r="D278" s="3">
        <v>1</v>
      </c>
      <c r="E278" s="3">
        <v>1</v>
      </c>
      <c r="F278" s="3">
        <v>1</v>
      </c>
      <c r="G278" s="3">
        <v>1</v>
      </c>
      <c r="H278" s="3">
        <v>1</v>
      </c>
      <c r="I278" s="3">
        <v>764</v>
      </c>
      <c r="J278" s="3">
        <v>86.8</v>
      </c>
      <c r="K278" s="3">
        <v>8.8800000000000008</v>
      </c>
      <c r="L278" s="3">
        <v>2.44</v>
      </c>
      <c r="M278" s="3">
        <v>1</v>
      </c>
      <c r="N278" s="3" t="s">
        <v>37</v>
      </c>
      <c r="O278" s="3" t="s">
        <v>37</v>
      </c>
      <c r="P278" s="3" t="s">
        <v>37</v>
      </c>
      <c r="Q278" s="3" t="s">
        <v>37</v>
      </c>
      <c r="R278" s="3" t="s">
        <v>37</v>
      </c>
      <c r="S278" s="3" t="s">
        <v>37</v>
      </c>
      <c r="T278" s="3" t="s">
        <v>753</v>
      </c>
      <c r="U278" s="3" t="s">
        <v>37</v>
      </c>
      <c r="V278" s="3" t="s">
        <v>37</v>
      </c>
      <c r="W278" s="3" t="s">
        <v>37</v>
      </c>
      <c r="X278" s="3">
        <v>0</v>
      </c>
      <c r="Y278" s="3" t="s">
        <v>38</v>
      </c>
      <c r="Z278" s="3">
        <v>1</v>
      </c>
      <c r="AA278" s="3" t="s">
        <v>37</v>
      </c>
    </row>
    <row r="279" spans="1:27" hidden="1" outlineLevel="1" collapsed="1" x14ac:dyDescent="0.2">
      <c r="A279" t="s">
        <v>37</v>
      </c>
      <c r="B279" s="2" t="s">
        <v>40</v>
      </c>
      <c r="C279" s="2" t="s">
        <v>41</v>
      </c>
      <c r="D279" s="2" t="s">
        <v>26</v>
      </c>
      <c r="E279" s="2" t="s">
        <v>42</v>
      </c>
      <c r="F279" s="2" t="s">
        <v>43</v>
      </c>
      <c r="G279" s="2" t="s">
        <v>25</v>
      </c>
      <c r="H279" s="2" t="s">
        <v>44</v>
      </c>
      <c r="I279" s="2" t="s">
        <v>5</v>
      </c>
      <c r="J279" s="2" t="s">
        <v>6</v>
      </c>
      <c r="K279" s="2" t="s">
        <v>45</v>
      </c>
      <c r="L279" s="2" t="s">
        <v>46</v>
      </c>
      <c r="M279" s="2" t="s">
        <v>47</v>
      </c>
      <c r="N279" s="2" t="s">
        <v>48</v>
      </c>
      <c r="O279" s="2" t="s">
        <v>49</v>
      </c>
      <c r="P279" s="2" t="s">
        <v>24</v>
      </c>
      <c r="Q279" s="2" t="s">
        <v>50</v>
      </c>
      <c r="R279" s="2" t="s">
        <v>51</v>
      </c>
      <c r="S279" s="2" t="s">
        <v>52</v>
      </c>
      <c r="T279" s="2" t="s">
        <v>53</v>
      </c>
    </row>
    <row r="280" spans="1:27" hidden="1" outlineLevel="1" collapsed="1" x14ac:dyDescent="0.2">
      <c r="A280" t="s">
        <v>37</v>
      </c>
      <c r="B280" s="4" t="s">
        <v>38</v>
      </c>
      <c r="C280" s="4" t="s">
        <v>755</v>
      </c>
      <c r="D280" s="4" t="s">
        <v>283</v>
      </c>
      <c r="E280" s="4">
        <v>0.24004400000000001</v>
      </c>
      <c r="F280" s="4">
        <v>5.0826200000000004E-3</v>
      </c>
      <c r="G280" s="4">
        <v>1</v>
      </c>
      <c r="H280" s="4">
        <v>1</v>
      </c>
      <c r="I280" s="4">
        <v>1</v>
      </c>
      <c r="J280" s="4">
        <v>1</v>
      </c>
      <c r="K280" s="4" t="s">
        <v>753</v>
      </c>
      <c r="L280" s="4" t="s">
        <v>756</v>
      </c>
      <c r="M280" s="4" t="s">
        <v>37</v>
      </c>
      <c r="N280" s="4">
        <v>0</v>
      </c>
      <c r="O280" s="4">
        <v>1129.6285600000001</v>
      </c>
      <c r="P280" s="4" t="s">
        <v>38</v>
      </c>
      <c r="Q280" s="4" t="s">
        <v>38</v>
      </c>
      <c r="R280" s="4">
        <v>1.3159999999999999E-3</v>
      </c>
      <c r="S280" s="4">
        <v>9.5710000000000003E-2</v>
      </c>
      <c r="T280" s="4">
        <v>2.44</v>
      </c>
    </row>
    <row r="281" spans="1:27" collapsed="1" x14ac:dyDescent="0.2">
      <c r="A281" s="3" t="s">
        <v>27</v>
      </c>
      <c r="B281" s="3" t="s">
        <v>757</v>
      </c>
      <c r="C281" s="3" t="s">
        <v>758</v>
      </c>
      <c r="D281" s="3">
        <v>4</v>
      </c>
      <c r="E281" s="3">
        <v>1</v>
      </c>
      <c r="F281" s="3">
        <v>1</v>
      </c>
      <c r="G281" s="3">
        <v>1</v>
      </c>
      <c r="H281" s="3">
        <v>1</v>
      </c>
      <c r="I281" s="3">
        <v>613</v>
      </c>
      <c r="J281" s="3">
        <v>66.599999999999994</v>
      </c>
      <c r="K281" s="3">
        <v>5.44</v>
      </c>
      <c r="L281" s="3">
        <v>2.4300000000000002</v>
      </c>
      <c r="M281" s="3">
        <v>1</v>
      </c>
      <c r="N281" s="3" t="s">
        <v>759</v>
      </c>
      <c r="O281" s="3" t="s">
        <v>489</v>
      </c>
      <c r="P281" s="3" t="s">
        <v>32</v>
      </c>
      <c r="Q281" s="3" t="s">
        <v>760</v>
      </c>
      <c r="R281" s="3" t="s">
        <v>761</v>
      </c>
      <c r="S281" s="3" t="s">
        <v>762</v>
      </c>
      <c r="T281" s="3" t="s">
        <v>763</v>
      </c>
      <c r="U281" s="3" t="s">
        <v>37</v>
      </c>
      <c r="V281" s="3" t="s">
        <v>37</v>
      </c>
      <c r="W281" s="3" t="s">
        <v>37</v>
      </c>
      <c r="X281" s="3">
        <v>0</v>
      </c>
      <c r="Y281" s="3" t="s">
        <v>38</v>
      </c>
      <c r="Z281" s="3">
        <v>1</v>
      </c>
      <c r="AA281" s="3" t="s">
        <v>37</v>
      </c>
    </row>
    <row r="282" spans="1:27" hidden="1" outlineLevel="1" collapsed="1" x14ac:dyDescent="0.2">
      <c r="A282" t="s">
        <v>37</v>
      </c>
      <c r="B282" s="2" t="s">
        <v>40</v>
      </c>
      <c r="C282" s="2" t="s">
        <v>41</v>
      </c>
      <c r="D282" s="2" t="s">
        <v>26</v>
      </c>
      <c r="E282" s="2" t="s">
        <v>42</v>
      </c>
      <c r="F282" s="2" t="s">
        <v>43</v>
      </c>
      <c r="G282" s="2" t="s">
        <v>25</v>
      </c>
      <c r="H282" s="2" t="s">
        <v>44</v>
      </c>
      <c r="I282" s="2" t="s">
        <v>5</v>
      </c>
      <c r="J282" s="2" t="s">
        <v>6</v>
      </c>
      <c r="K282" s="2" t="s">
        <v>45</v>
      </c>
      <c r="L282" s="2" t="s">
        <v>46</v>
      </c>
      <c r="M282" s="2" t="s">
        <v>47</v>
      </c>
      <c r="N282" s="2" t="s">
        <v>48</v>
      </c>
      <c r="O282" s="2" t="s">
        <v>49</v>
      </c>
      <c r="P282" s="2" t="s">
        <v>24</v>
      </c>
      <c r="Q282" s="2" t="s">
        <v>50</v>
      </c>
      <c r="R282" s="2" t="s">
        <v>51</v>
      </c>
      <c r="S282" s="2" t="s">
        <v>52</v>
      </c>
      <c r="T282" s="2" t="s">
        <v>53</v>
      </c>
    </row>
    <row r="283" spans="1:27" hidden="1" outlineLevel="1" collapsed="1" x14ac:dyDescent="0.2">
      <c r="A283" t="s">
        <v>37</v>
      </c>
      <c r="B283" s="4" t="s">
        <v>38</v>
      </c>
      <c r="C283" s="4" t="s">
        <v>764</v>
      </c>
      <c r="D283" s="4" t="s">
        <v>765</v>
      </c>
      <c r="E283" s="4">
        <v>0.21280399999999999</v>
      </c>
      <c r="F283" s="4">
        <v>5.0826200000000004E-3</v>
      </c>
      <c r="G283" s="4">
        <v>1</v>
      </c>
      <c r="H283" s="4">
        <v>2</v>
      </c>
      <c r="I283" s="4">
        <v>1</v>
      </c>
      <c r="J283" s="4">
        <v>1</v>
      </c>
      <c r="K283" s="4" t="s">
        <v>757</v>
      </c>
      <c r="L283" s="4" t="s">
        <v>766</v>
      </c>
      <c r="M283" s="4" t="s">
        <v>37</v>
      </c>
      <c r="N283" s="4">
        <v>0</v>
      </c>
      <c r="O283" s="4">
        <v>2700.3622999999998</v>
      </c>
      <c r="P283" s="4" t="s">
        <v>38</v>
      </c>
      <c r="Q283" s="4" t="s">
        <v>38</v>
      </c>
      <c r="R283" s="4">
        <v>1.3159999999999999E-3</v>
      </c>
      <c r="S283" s="4">
        <v>7.9670000000000005E-2</v>
      </c>
      <c r="T283" s="4">
        <v>2.4300000000000002</v>
      </c>
    </row>
    <row r="284" spans="1:27" collapsed="1" x14ac:dyDescent="0.2">
      <c r="A284" s="3" t="s">
        <v>27</v>
      </c>
      <c r="B284" s="3" t="s">
        <v>767</v>
      </c>
      <c r="C284" s="3" t="s">
        <v>768</v>
      </c>
      <c r="D284" s="3">
        <v>3</v>
      </c>
      <c r="E284" s="3">
        <v>1</v>
      </c>
      <c r="F284" s="3">
        <v>1</v>
      </c>
      <c r="G284" s="3">
        <v>1</v>
      </c>
      <c r="H284" s="3">
        <v>1</v>
      </c>
      <c r="I284" s="3">
        <v>691</v>
      </c>
      <c r="J284" s="3">
        <v>80.400000000000006</v>
      </c>
      <c r="K284" s="3">
        <v>8.68</v>
      </c>
      <c r="L284" s="3">
        <v>2.41</v>
      </c>
      <c r="M284" s="3">
        <v>1</v>
      </c>
      <c r="N284" s="3" t="s">
        <v>120</v>
      </c>
      <c r="O284" s="3" t="s">
        <v>268</v>
      </c>
      <c r="P284" s="3" t="s">
        <v>32</v>
      </c>
      <c r="Q284" s="3" t="s">
        <v>769</v>
      </c>
      <c r="R284" s="3" t="s">
        <v>770</v>
      </c>
      <c r="S284" s="3" t="s">
        <v>771</v>
      </c>
      <c r="T284" s="3" t="s">
        <v>772</v>
      </c>
      <c r="U284" s="3" t="s">
        <v>37</v>
      </c>
      <c r="V284" s="3" t="s">
        <v>37</v>
      </c>
      <c r="W284" s="3" t="s">
        <v>37</v>
      </c>
      <c r="X284" s="3">
        <v>0</v>
      </c>
      <c r="Y284" s="3" t="s">
        <v>38</v>
      </c>
      <c r="Z284" s="3">
        <v>1</v>
      </c>
      <c r="AA284" s="3" t="s">
        <v>37</v>
      </c>
    </row>
    <row r="285" spans="1:27" hidden="1" outlineLevel="1" collapsed="1" x14ac:dyDescent="0.2">
      <c r="A285" t="s">
        <v>37</v>
      </c>
      <c r="B285" s="2" t="s">
        <v>40</v>
      </c>
      <c r="C285" s="2" t="s">
        <v>41</v>
      </c>
      <c r="D285" s="2" t="s">
        <v>26</v>
      </c>
      <c r="E285" s="2" t="s">
        <v>42</v>
      </c>
      <c r="F285" s="2" t="s">
        <v>43</v>
      </c>
      <c r="G285" s="2" t="s">
        <v>25</v>
      </c>
      <c r="H285" s="2" t="s">
        <v>44</v>
      </c>
      <c r="I285" s="2" t="s">
        <v>5</v>
      </c>
      <c r="J285" s="2" t="s">
        <v>6</v>
      </c>
      <c r="K285" s="2" t="s">
        <v>45</v>
      </c>
      <c r="L285" s="2" t="s">
        <v>46</v>
      </c>
      <c r="M285" s="2" t="s">
        <v>47</v>
      </c>
      <c r="N285" s="2" t="s">
        <v>48</v>
      </c>
      <c r="O285" s="2" t="s">
        <v>49</v>
      </c>
      <c r="P285" s="2" t="s">
        <v>24</v>
      </c>
      <c r="Q285" s="2" t="s">
        <v>50</v>
      </c>
      <c r="R285" s="2" t="s">
        <v>51</v>
      </c>
      <c r="S285" s="2" t="s">
        <v>52</v>
      </c>
      <c r="T285" s="2" t="s">
        <v>53</v>
      </c>
    </row>
    <row r="286" spans="1:27" hidden="1" outlineLevel="1" collapsed="1" x14ac:dyDescent="0.2">
      <c r="A286" t="s">
        <v>37</v>
      </c>
      <c r="B286" s="4" t="s">
        <v>38</v>
      </c>
      <c r="C286" s="4" t="s">
        <v>773</v>
      </c>
      <c r="D286" s="4" t="s">
        <v>37</v>
      </c>
      <c r="E286" s="4">
        <v>0.25290800000000002</v>
      </c>
      <c r="F286" s="4">
        <v>5.0826200000000004E-3</v>
      </c>
      <c r="G286" s="4">
        <v>1</v>
      </c>
      <c r="H286" s="4">
        <v>1</v>
      </c>
      <c r="I286" s="4">
        <v>1</v>
      </c>
      <c r="J286" s="4">
        <v>1</v>
      </c>
      <c r="K286" s="4" t="s">
        <v>767</v>
      </c>
      <c r="L286" s="4" t="s">
        <v>774</v>
      </c>
      <c r="M286" s="4" t="s">
        <v>37</v>
      </c>
      <c r="N286" s="4">
        <v>0</v>
      </c>
      <c r="O286" s="4">
        <v>2500.2525500000002</v>
      </c>
      <c r="P286" s="4" t="s">
        <v>38</v>
      </c>
      <c r="Q286" s="4" t="s">
        <v>38</v>
      </c>
      <c r="R286" s="4">
        <v>1.3159999999999999E-3</v>
      </c>
      <c r="S286" s="4">
        <v>0.1037</v>
      </c>
      <c r="T286" s="4">
        <v>2.41</v>
      </c>
    </row>
    <row r="287" spans="1:27" collapsed="1" x14ac:dyDescent="0.2">
      <c r="A287" s="3" t="s">
        <v>27</v>
      </c>
      <c r="B287" s="3" t="s">
        <v>775</v>
      </c>
      <c r="C287" s="3" t="s">
        <v>776</v>
      </c>
      <c r="D287" s="3">
        <v>6</v>
      </c>
      <c r="E287" s="3">
        <v>1</v>
      </c>
      <c r="F287" s="3">
        <v>1</v>
      </c>
      <c r="G287" s="3">
        <v>1</v>
      </c>
      <c r="H287" s="3">
        <v>1</v>
      </c>
      <c r="I287" s="3">
        <v>127</v>
      </c>
      <c r="J287" s="3">
        <v>14.2</v>
      </c>
      <c r="K287" s="3">
        <v>10.46</v>
      </c>
      <c r="L287" s="3">
        <v>1.82</v>
      </c>
      <c r="M287" s="3">
        <v>1</v>
      </c>
      <c r="N287" s="3" t="s">
        <v>697</v>
      </c>
      <c r="O287" s="3" t="s">
        <v>652</v>
      </c>
      <c r="P287" s="3" t="s">
        <v>526</v>
      </c>
      <c r="Q287" s="3" t="s">
        <v>777</v>
      </c>
      <c r="R287" s="3" t="s">
        <v>778</v>
      </c>
      <c r="S287" s="3" t="s">
        <v>779</v>
      </c>
      <c r="T287" s="3" t="s">
        <v>780</v>
      </c>
      <c r="U287" s="3" t="s">
        <v>583</v>
      </c>
      <c r="V287" s="3" t="s">
        <v>37</v>
      </c>
      <c r="W287" s="3" t="s">
        <v>37</v>
      </c>
      <c r="X287" s="3">
        <v>6</v>
      </c>
      <c r="Y287" s="3" t="s">
        <v>38</v>
      </c>
      <c r="Z287" s="3">
        <v>1</v>
      </c>
      <c r="AA287" s="3" t="s">
        <v>37</v>
      </c>
    </row>
    <row r="288" spans="1:27" hidden="1" outlineLevel="1" collapsed="1" x14ac:dyDescent="0.2">
      <c r="A288" t="s">
        <v>37</v>
      </c>
      <c r="B288" s="2" t="s">
        <v>40</v>
      </c>
      <c r="C288" s="2" t="s">
        <v>41</v>
      </c>
      <c r="D288" s="2" t="s">
        <v>26</v>
      </c>
      <c r="E288" s="2" t="s">
        <v>42</v>
      </c>
      <c r="F288" s="2" t="s">
        <v>43</v>
      </c>
      <c r="G288" s="2" t="s">
        <v>25</v>
      </c>
      <c r="H288" s="2" t="s">
        <v>44</v>
      </c>
      <c r="I288" s="2" t="s">
        <v>5</v>
      </c>
      <c r="J288" s="2" t="s">
        <v>6</v>
      </c>
      <c r="K288" s="2" t="s">
        <v>45</v>
      </c>
      <c r="L288" s="2" t="s">
        <v>46</v>
      </c>
      <c r="M288" s="2" t="s">
        <v>47</v>
      </c>
      <c r="N288" s="2" t="s">
        <v>48</v>
      </c>
      <c r="O288" s="2" t="s">
        <v>49</v>
      </c>
      <c r="P288" s="2" t="s">
        <v>24</v>
      </c>
      <c r="Q288" s="2" t="s">
        <v>50</v>
      </c>
      <c r="R288" s="2" t="s">
        <v>51</v>
      </c>
      <c r="S288" s="2" t="s">
        <v>52</v>
      </c>
      <c r="T288" s="2" t="s">
        <v>53</v>
      </c>
    </row>
    <row r="289" spans="1:27" hidden="1" outlineLevel="1" collapsed="1" x14ac:dyDescent="0.2">
      <c r="A289" t="s">
        <v>37</v>
      </c>
      <c r="B289" s="4" t="s">
        <v>38</v>
      </c>
      <c r="C289" s="4" t="s">
        <v>781</v>
      </c>
      <c r="D289" s="4" t="s">
        <v>37</v>
      </c>
      <c r="E289" s="4">
        <v>0.231101</v>
      </c>
      <c r="F289" s="4">
        <v>5.0826200000000004E-3</v>
      </c>
      <c r="G289" s="4">
        <v>1</v>
      </c>
      <c r="H289" s="4">
        <v>2</v>
      </c>
      <c r="I289" s="4">
        <v>1</v>
      </c>
      <c r="J289" s="4">
        <v>1</v>
      </c>
      <c r="K289" s="4" t="s">
        <v>775</v>
      </c>
      <c r="L289" s="4" t="s">
        <v>782</v>
      </c>
      <c r="M289" s="4" t="s">
        <v>37</v>
      </c>
      <c r="N289" s="4">
        <v>0</v>
      </c>
      <c r="O289" s="4">
        <v>944.50473999999997</v>
      </c>
      <c r="P289" s="4" t="s">
        <v>38</v>
      </c>
      <c r="Q289" s="4" t="s">
        <v>38</v>
      </c>
      <c r="R289" s="4">
        <v>1.3159999999999999E-3</v>
      </c>
      <c r="S289" s="4">
        <v>9.0079999999999993E-2</v>
      </c>
      <c r="T289" s="4">
        <v>1.82</v>
      </c>
    </row>
    <row r="290" spans="1:27" collapsed="1" x14ac:dyDescent="0.2">
      <c r="A290" s="3" t="s">
        <v>27</v>
      </c>
      <c r="B290" s="3" t="s">
        <v>783</v>
      </c>
      <c r="C290" s="3" t="s">
        <v>784</v>
      </c>
      <c r="D290" s="3">
        <v>5</v>
      </c>
      <c r="E290" s="3">
        <v>1</v>
      </c>
      <c r="F290" s="3">
        <v>1</v>
      </c>
      <c r="G290" s="3">
        <v>1</v>
      </c>
      <c r="H290" s="3">
        <v>1</v>
      </c>
      <c r="I290" s="3">
        <v>221</v>
      </c>
      <c r="J290" s="3">
        <v>25.2</v>
      </c>
      <c r="K290" s="3">
        <v>6.92</v>
      </c>
      <c r="L290" s="3">
        <v>0</v>
      </c>
      <c r="M290" s="3">
        <v>1</v>
      </c>
      <c r="N290" s="3" t="s">
        <v>428</v>
      </c>
      <c r="O290" s="3" t="s">
        <v>268</v>
      </c>
      <c r="P290" s="3" t="s">
        <v>37</v>
      </c>
      <c r="Q290" s="3" t="s">
        <v>37</v>
      </c>
      <c r="R290" s="3" t="s">
        <v>785</v>
      </c>
      <c r="S290" s="3" t="s">
        <v>786</v>
      </c>
      <c r="T290" s="3" t="s">
        <v>787</v>
      </c>
      <c r="U290" s="3" t="s">
        <v>37</v>
      </c>
      <c r="V290" s="3" t="s">
        <v>37</v>
      </c>
      <c r="W290" s="3" t="s">
        <v>37</v>
      </c>
      <c r="X290" s="3">
        <v>0</v>
      </c>
      <c r="Y290" s="3" t="s">
        <v>38</v>
      </c>
      <c r="Z290" s="3">
        <v>1</v>
      </c>
      <c r="AA290" s="3" t="s">
        <v>37</v>
      </c>
    </row>
    <row r="291" spans="1:27" hidden="1" outlineLevel="1" collapsed="1" x14ac:dyDescent="0.2">
      <c r="A291" t="s">
        <v>37</v>
      </c>
      <c r="B291" s="2" t="s">
        <v>40</v>
      </c>
      <c r="C291" s="2" t="s">
        <v>41</v>
      </c>
      <c r="D291" s="2" t="s">
        <v>26</v>
      </c>
      <c r="E291" s="2" t="s">
        <v>42</v>
      </c>
      <c r="F291" s="2" t="s">
        <v>43</v>
      </c>
      <c r="G291" s="2" t="s">
        <v>25</v>
      </c>
      <c r="H291" s="2" t="s">
        <v>44</v>
      </c>
      <c r="I291" s="2" t="s">
        <v>5</v>
      </c>
      <c r="J291" s="2" t="s">
        <v>6</v>
      </c>
      <c r="K291" s="2" t="s">
        <v>45</v>
      </c>
      <c r="L291" s="2" t="s">
        <v>46</v>
      </c>
      <c r="M291" s="2" t="s">
        <v>47</v>
      </c>
      <c r="N291" s="2" t="s">
        <v>48</v>
      </c>
      <c r="O291" s="2" t="s">
        <v>49</v>
      </c>
      <c r="P291" s="2" t="s">
        <v>24</v>
      </c>
      <c r="Q291" s="2" t="s">
        <v>50</v>
      </c>
      <c r="R291" s="2" t="s">
        <v>51</v>
      </c>
      <c r="S291" s="2" t="s">
        <v>52</v>
      </c>
      <c r="T291" s="2" t="s">
        <v>53</v>
      </c>
    </row>
    <row r="292" spans="1:27" hidden="1" outlineLevel="1" collapsed="1" x14ac:dyDescent="0.2">
      <c r="A292" t="s">
        <v>37</v>
      </c>
      <c r="B292" s="4" t="s">
        <v>38</v>
      </c>
      <c r="C292" s="4" t="s">
        <v>788</v>
      </c>
      <c r="D292" s="4" t="s">
        <v>450</v>
      </c>
      <c r="E292" s="4">
        <v>0.25217899999999999</v>
      </c>
      <c r="F292" s="4">
        <v>5.0826200000000004E-3</v>
      </c>
      <c r="G292" s="4">
        <v>1</v>
      </c>
      <c r="H292" s="4">
        <v>1</v>
      </c>
      <c r="I292" s="4">
        <v>1</v>
      </c>
      <c r="J292" s="4">
        <v>1</v>
      </c>
      <c r="K292" s="4" t="s">
        <v>783</v>
      </c>
      <c r="L292" s="4" t="s">
        <v>789</v>
      </c>
      <c r="M292" s="4" t="s">
        <v>37</v>
      </c>
      <c r="N292" s="4">
        <v>0</v>
      </c>
      <c r="O292" s="4">
        <v>1422.6794199999999</v>
      </c>
      <c r="P292" s="4" t="s">
        <v>38</v>
      </c>
      <c r="Q292" s="4" t="s">
        <v>38</v>
      </c>
      <c r="R292" s="4">
        <v>1.3159999999999999E-3</v>
      </c>
      <c r="S292" s="4">
        <v>0.10299999999999999</v>
      </c>
      <c r="T292" s="4">
        <v>1.33</v>
      </c>
    </row>
    <row r="293" spans="1:27" collapsed="1" x14ac:dyDescent="0.2">
      <c r="A293" s="3" t="s">
        <v>27</v>
      </c>
      <c r="B293" s="3" t="s">
        <v>790</v>
      </c>
      <c r="C293" s="3" t="s">
        <v>791</v>
      </c>
      <c r="D293" s="3">
        <v>1</v>
      </c>
      <c r="E293" s="3">
        <v>1</v>
      </c>
      <c r="F293" s="3">
        <v>1</v>
      </c>
      <c r="G293" s="3">
        <v>1</v>
      </c>
      <c r="H293" s="3">
        <v>1</v>
      </c>
      <c r="I293" s="3">
        <v>947</v>
      </c>
      <c r="J293" s="3">
        <v>102.1</v>
      </c>
      <c r="K293" s="3">
        <v>5.03</v>
      </c>
      <c r="L293" s="3">
        <v>0</v>
      </c>
      <c r="M293" s="3">
        <v>1</v>
      </c>
      <c r="N293" s="3" t="s">
        <v>792</v>
      </c>
      <c r="O293" s="3" t="s">
        <v>793</v>
      </c>
      <c r="P293" s="3" t="s">
        <v>794</v>
      </c>
      <c r="Q293" s="3" t="s">
        <v>795</v>
      </c>
      <c r="R293" s="3" t="s">
        <v>796</v>
      </c>
      <c r="S293" s="3" t="s">
        <v>797</v>
      </c>
      <c r="T293" s="3" t="s">
        <v>798</v>
      </c>
      <c r="U293" s="3" t="s">
        <v>37</v>
      </c>
      <c r="V293" s="3" t="s">
        <v>37</v>
      </c>
      <c r="W293" s="3" t="s">
        <v>37</v>
      </c>
      <c r="X293" s="3">
        <v>0</v>
      </c>
      <c r="Y293" s="3" t="s">
        <v>38</v>
      </c>
      <c r="Z293" s="3">
        <v>1</v>
      </c>
      <c r="AA293" s="3" t="s">
        <v>37</v>
      </c>
    </row>
    <row r="294" spans="1:27" hidden="1" outlineLevel="1" collapsed="1" x14ac:dyDescent="0.2">
      <c r="A294" t="s">
        <v>37</v>
      </c>
      <c r="B294" s="2" t="s">
        <v>40</v>
      </c>
      <c r="C294" s="2" t="s">
        <v>41</v>
      </c>
      <c r="D294" s="2" t="s">
        <v>26</v>
      </c>
      <c r="E294" s="2" t="s">
        <v>42</v>
      </c>
      <c r="F294" s="2" t="s">
        <v>43</v>
      </c>
      <c r="G294" s="2" t="s">
        <v>25</v>
      </c>
      <c r="H294" s="2" t="s">
        <v>44</v>
      </c>
      <c r="I294" s="2" t="s">
        <v>5</v>
      </c>
      <c r="J294" s="2" t="s">
        <v>6</v>
      </c>
      <c r="K294" s="2" t="s">
        <v>45</v>
      </c>
      <c r="L294" s="2" t="s">
        <v>46</v>
      </c>
      <c r="M294" s="2" t="s">
        <v>47</v>
      </c>
      <c r="N294" s="2" t="s">
        <v>48</v>
      </c>
      <c r="O294" s="2" t="s">
        <v>49</v>
      </c>
      <c r="P294" s="2" t="s">
        <v>24</v>
      </c>
      <c r="Q294" s="2" t="s">
        <v>50</v>
      </c>
      <c r="R294" s="2" t="s">
        <v>51</v>
      </c>
      <c r="S294" s="2" t="s">
        <v>52</v>
      </c>
      <c r="T294" s="2" t="s">
        <v>53</v>
      </c>
    </row>
    <row r="295" spans="1:27" hidden="1" outlineLevel="1" collapsed="1" x14ac:dyDescent="0.2">
      <c r="A295" t="s">
        <v>37</v>
      </c>
      <c r="B295" s="4" t="s">
        <v>38</v>
      </c>
      <c r="C295" s="4" t="s">
        <v>799</v>
      </c>
      <c r="D295" s="4" t="s">
        <v>800</v>
      </c>
      <c r="E295" s="4">
        <v>0.17724000000000001</v>
      </c>
      <c r="F295" s="4">
        <v>5.0826200000000004E-3</v>
      </c>
      <c r="G295" s="4">
        <v>1</v>
      </c>
      <c r="H295" s="4">
        <v>2</v>
      </c>
      <c r="I295" s="4">
        <v>1</v>
      </c>
      <c r="J295" s="4">
        <v>1</v>
      </c>
      <c r="K295" s="4" t="s">
        <v>790</v>
      </c>
      <c r="L295" s="4" t="s">
        <v>801</v>
      </c>
      <c r="M295" s="4" t="s">
        <v>37</v>
      </c>
      <c r="N295" s="4">
        <v>0</v>
      </c>
      <c r="O295" s="4">
        <v>1316.56095</v>
      </c>
      <c r="P295" s="4" t="s">
        <v>38</v>
      </c>
      <c r="Q295" s="4" t="s">
        <v>38</v>
      </c>
      <c r="R295" s="4">
        <v>1.3159999999999999E-3</v>
      </c>
      <c r="S295" s="4">
        <v>6.0519999999999997E-2</v>
      </c>
      <c r="T295" s="4">
        <v>1.52</v>
      </c>
    </row>
    <row r="296" spans="1:27" collapsed="1" x14ac:dyDescent="0.2">
      <c r="A296" s="3" t="s">
        <v>27</v>
      </c>
      <c r="B296" s="3" t="s">
        <v>802</v>
      </c>
      <c r="C296" s="3" t="s">
        <v>803</v>
      </c>
      <c r="D296" s="3">
        <v>7</v>
      </c>
      <c r="E296" s="3">
        <v>1</v>
      </c>
      <c r="F296" s="3">
        <v>1</v>
      </c>
      <c r="G296" s="3">
        <v>1</v>
      </c>
      <c r="H296" s="3">
        <v>1</v>
      </c>
      <c r="I296" s="3">
        <v>482</v>
      </c>
      <c r="J296" s="3">
        <v>54.7</v>
      </c>
      <c r="K296" s="3">
        <v>4.51</v>
      </c>
      <c r="L296" s="3">
        <v>0</v>
      </c>
      <c r="M296" s="3">
        <v>1</v>
      </c>
      <c r="N296" s="3" t="s">
        <v>804</v>
      </c>
      <c r="O296" s="3" t="s">
        <v>805</v>
      </c>
      <c r="P296" s="3" t="s">
        <v>526</v>
      </c>
      <c r="Q296" s="3" t="s">
        <v>806</v>
      </c>
      <c r="R296" s="3" t="s">
        <v>807</v>
      </c>
      <c r="S296" s="3" t="s">
        <v>808</v>
      </c>
      <c r="T296" s="3" t="s">
        <v>809</v>
      </c>
      <c r="U296" s="3" t="s">
        <v>810</v>
      </c>
      <c r="V296" s="3" t="s">
        <v>37</v>
      </c>
      <c r="W296" s="3" t="s">
        <v>37</v>
      </c>
      <c r="X296" s="3">
        <v>6</v>
      </c>
      <c r="Y296" s="3" t="s">
        <v>38</v>
      </c>
      <c r="Z296" s="3">
        <v>1</v>
      </c>
      <c r="AA296" s="3" t="s">
        <v>811</v>
      </c>
    </row>
    <row r="297" spans="1:27" hidden="1" outlineLevel="1" collapsed="1" x14ac:dyDescent="0.2">
      <c r="A297" t="s">
        <v>37</v>
      </c>
      <c r="B297" s="2" t="s">
        <v>40</v>
      </c>
      <c r="C297" s="2" t="s">
        <v>41</v>
      </c>
      <c r="D297" s="2" t="s">
        <v>26</v>
      </c>
      <c r="E297" s="2" t="s">
        <v>42</v>
      </c>
      <c r="F297" s="2" t="s">
        <v>43</v>
      </c>
      <c r="G297" s="2" t="s">
        <v>25</v>
      </c>
      <c r="H297" s="2" t="s">
        <v>44</v>
      </c>
      <c r="I297" s="2" t="s">
        <v>5</v>
      </c>
      <c r="J297" s="2" t="s">
        <v>6</v>
      </c>
      <c r="K297" s="2" t="s">
        <v>45</v>
      </c>
      <c r="L297" s="2" t="s">
        <v>46</v>
      </c>
      <c r="M297" s="2" t="s">
        <v>47</v>
      </c>
      <c r="N297" s="2" t="s">
        <v>48</v>
      </c>
      <c r="O297" s="2" t="s">
        <v>49</v>
      </c>
      <c r="P297" s="2" t="s">
        <v>24</v>
      </c>
      <c r="Q297" s="2" t="s">
        <v>50</v>
      </c>
      <c r="R297" s="2" t="s">
        <v>51</v>
      </c>
      <c r="S297" s="2" t="s">
        <v>52</v>
      </c>
      <c r="T297" s="2" t="s">
        <v>53</v>
      </c>
    </row>
    <row r="298" spans="1:27" hidden="1" outlineLevel="1" collapsed="1" x14ac:dyDescent="0.2">
      <c r="A298" t="s">
        <v>37</v>
      </c>
      <c r="B298" s="4" t="s">
        <v>38</v>
      </c>
      <c r="C298" s="4" t="s">
        <v>812</v>
      </c>
      <c r="D298" s="4" t="s">
        <v>813</v>
      </c>
      <c r="E298" s="4">
        <v>0.29249700000000001</v>
      </c>
      <c r="F298" s="4">
        <v>5.0826200000000004E-3</v>
      </c>
      <c r="G298" s="4">
        <v>1</v>
      </c>
      <c r="H298" s="4">
        <v>1</v>
      </c>
      <c r="I298" s="4">
        <v>1</v>
      </c>
      <c r="J298" s="4">
        <v>1</v>
      </c>
      <c r="K298" s="4" t="s">
        <v>802</v>
      </c>
      <c r="L298" s="4" t="s">
        <v>814</v>
      </c>
      <c r="M298" s="4" t="s">
        <v>815</v>
      </c>
      <c r="N298" s="4">
        <v>0</v>
      </c>
      <c r="O298" s="4">
        <v>4058.3489599999998</v>
      </c>
      <c r="P298" s="4" t="s">
        <v>38</v>
      </c>
      <c r="Q298" s="4" t="s">
        <v>38</v>
      </c>
      <c r="R298" s="4">
        <v>1.3159999999999999E-3</v>
      </c>
      <c r="S298" s="4">
        <v>0.12920000000000001</v>
      </c>
      <c r="T298" s="4">
        <v>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010C-866E-DC43-A181-6FD92B5DBFD0}">
  <dimension ref="A1:K44"/>
  <sheetViews>
    <sheetView tabSelected="1" topLeftCell="A24" workbookViewId="0">
      <selection activeCell="I15" sqref="I15"/>
    </sheetView>
  </sheetViews>
  <sheetFormatPr baseColWidth="10" defaultRowHeight="15" x14ac:dyDescent="0.2"/>
  <cols>
    <col min="2" max="2" width="12.33203125" customWidth="1"/>
    <col min="3" max="3" width="17.33203125" customWidth="1"/>
    <col min="7" max="7" width="16.5" customWidth="1"/>
  </cols>
  <sheetData>
    <row r="1" spans="1:11" x14ac:dyDescent="0.2">
      <c r="A1" s="1" t="s">
        <v>1286</v>
      </c>
      <c r="B1" s="1" t="s">
        <v>6</v>
      </c>
      <c r="C1" s="1" t="s">
        <v>1317</v>
      </c>
      <c r="E1" s="1" t="s">
        <v>1286</v>
      </c>
      <c r="F1" s="1" t="s">
        <v>6</v>
      </c>
      <c r="G1" s="1" t="s">
        <v>1317</v>
      </c>
    </row>
    <row r="2" spans="1:11" x14ac:dyDescent="0.2">
      <c r="A2" s="3" t="s">
        <v>35</v>
      </c>
      <c r="B2" s="3">
        <v>187</v>
      </c>
      <c r="C2" s="3" t="s">
        <v>1318</v>
      </c>
      <c r="E2" s="3" t="s">
        <v>35</v>
      </c>
      <c r="F2" s="3">
        <v>187</v>
      </c>
      <c r="G2" s="3" t="s">
        <v>1318</v>
      </c>
      <c r="I2" s="6"/>
      <c r="J2" s="6"/>
      <c r="K2" s="6"/>
    </row>
    <row r="3" spans="1:11" x14ac:dyDescent="0.2">
      <c r="A3" s="3" t="s">
        <v>124</v>
      </c>
      <c r="B3" s="3">
        <v>155</v>
      </c>
      <c r="C3" s="3" t="s">
        <v>1319</v>
      </c>
      <c r="E3" s="3" t="s">
        <v>271</v>
      </c>
      <c r="F3" s="3">
        <v>62</v>
      </c>
      <c r="G3" s="3" t="s">
        <v>1318</v>
      </c>
      <c r="I3" s="6"/>
      <c r="J3" s="6"/>
      <c r="K3" s="6"/>
    </row>
    <row r="4" spans="1:11" x14ac:dyDescent="0.2">
      <c r="A4" s="3" t="s">
        <v>225</v>
      </c>
      <c r="B4" s="3">
        <v>74</v>
      </c>
      <c r="C4" s="3" t="s">
        <v>1319</v>
      </c>
      <c r="E4" s="3" t="s">
        <v>1287</v>
      </c>
      <c r="F4" s="3">
        <v>29</v>
      </c>
      <c r="G4" s="3" t="s">
        <v>1318</v>
      </c>
      <c r="I4" s="6"/>
      <c r="J4" s="6"/>
      <c r="K4" s="6"/>
    </row>
    <row r="5" spans="1:11" x14ac:dyDescent="0.2">
      <c r="A5" s="3" t="s">
        <v>271</v>
      </c>
      <c r="B5" s="3">
        <v>62</v>
      </c>
      <c r="C5" s="3" t="s">
        <v>1318</v>
      </c>
      <c r="E5" s="3" t="s">
        <v>124</v>
      </c>
      <c r="F5" s="3">
        <v>155</v>
      </c>
      <c r="G5" s="3" t="s">
        <v>1319</v>
      </c>
      <c r="I5" s="6"/>
      <c r="J5" s="6"/>
      <c r="K5" s="6"/>
    </row>
    <row r="6" spans="1:11" x14ac:dyDescent="0.2">
      <c r="A6" s="3" t="s">
        <v>1287</v>
      </c>
      <c r="B6" s="3">
        <v>29</v>
      </c>
      <c r="C6" s="3" t="s">
        <v>1318</v>
      </c>
      <c r="E6" s="3" t="s">
        <v>225</v>
      </c>
      <c r="F6" s="3">
        <v>74</v>
      </c>
      <c r="G6" s="3" t="s">
        <v>1319</v>
      </c>
      <c r="I6" s="6"/>
      <c r="J6" s="6"/>
      <c r="K6" s="6"/>
    </row>
    <row r="7" spans="1:11" x14ac:dyDescent="0.2">
      <c r="A7" s="3" t="s">
        <v>341</v>
      </c>
      <c r="B7" s="3">
        <v>17</v>
      </c>
      <c r="C7" s="3" t="s">
        <v>1320</v>
      </c>
      <c r="E7" s="3" t="s">
        <v>1307</v>
      </c>
      <c r="F7" s="3">
        <v>1</v>
      </c>
      <c r="G7" s="3" t="s">
        <v>1319</v>
      </c>
      <c r="I7" s="6"/>
      <c r="J7" s="6"/>
      <c r="K7" s="6"/>
    </row>
    <row r="8" spans="1:11" x14ac:dyDescent="0.2">
      <c r="A8" s="3" t="s">
        <v>1288</v>
      </c>
      <c r="B8" s="3">
        <v>15</v>
      </c>
      <c r="C8" s="3" t="s">
        <v>1326</v>
      </c>
      <c r="E8" s="3" t="s">
        <v>1289</v>
      </c>
      <c r="F8" s="3">
        <v>14</v>
      </c>
      <c r="G8" s="3" t="s">
        <v>1321</v>
      </c>
      <c r="I8" s="6"/>
      <c r="J8" s="6"/>
      <c r="K8" s="6"/>
    </row>
    <row r="9" spans="1:11" x14ac:dyDescent="0.2">
      <c r="A9" s="3" t="s">
        <v>1289</v>
      </c>
      <c r="B9" s="3">
        <v>14</v>
      </c>
      <c r="C9" s="3" t="s">
        <v>1321</v>
      </c>
      <c r="E9" s="3" t="s">
        <v>341</v>
      </c>
      <c r="F9" s="3">
        <v>17</v>
      </c>
      <c r="G9" s="3" t="s">
        <v>1320</v>
      </c>
      <c r="I9" s="6"/>
      <c r="J9" s="6"/>
      <c r="K9" s="6"/>
    </row>
    <row r="10" spans="1:11" x14ac:dyDescent="0.2">
      <c r="A10" s="3" t="s">
        <v>1290</v>
      </c>
      <c r="B10" s="3">
        <v>7</v>
      </c>
      <c r="C10" s="3" t="s">
        <v>1326</v>
      </c>
      <c r="E10" s="3" t="s">
        <v>456</v>
      </c>
      <c r="F10" s="3">
        <v>6</v>
      </c>
      <c r="G10" s="3" t="s">
        <v>1320</v>
      </c>
      <c r="I10" s="6"/>
      <c r="J10" s="6"/>
      <c r="K10" s="6"/>
    </row>
    <row r="11" spans="1:11" x14ac:dyDescent="0.2">
      <c r="A11" s="3" t="s">
        <v>1293</v>
      </c>
      <c r="B11" s="3">
        <v>6</v>
      </c>
      <c r="C11" s="3" t="s">
        <v>1326</v>
      </c>
      <c r="E11" s="3" t="s">
        <v>1291</v>
      </c>
      <c r="F11" s="3">
        <v>6</v>
      </c>
      <c r="G11" s="3" t="s">
        <v>1322</v>
      </c>
      <c r="I11" s="6"/>
      <c r="J11" s="6"/>
      <c r="K11" s="6"/>
    </row>
    <row r="12" spans="1:11" x14ac:dyDescent="0.2">
      <c r="A12" s="3" t="s">
        <v>1291</v>
      </c>
      <c r="B12" s="3">
        <v>6</v>
      </c>
      <c r="C12" s="3" t="s">
        <v>1322</v>
      </c>
      <c r="E12" s="3" t="s">
        <v>468</v>
      </c>
      <c r="F12" s="3">
        <v>6</v>
      </c>
      <c r="G12" s="3" t="s">
        <v>1322</v>
      </c>
      <c r="I12" s="6"/>
      <c r="J12" s="6"/>
      <c r="K12" s="6"/>
    </row>
    <row r="13" spans="1:11" x14ac:dyDescent="0.2">
      <c r="A13" s="3" t="s">
        <v>468</v>
      </c>
      <c r="B13" s="3">
        <v>6</v>
      </c>
      <c r="C13" s="3" t="s">
        <v>1322</v>
      </c>
      <c r="E13" s="3" t="s">
        <v>771</v>
      </c>
      <c r="F13" s="3">
        <v>1</v>
      </c>
      <c r="G13" s="3" t="s">
        <v>1322</v>
      </c>
      <c r="I13" s="6"/>
      <c r="J13" s="6"/>
      <c r="K13" s="6"/>
    </row>
    <row r="14" spans="1:11" x14ac:dyDescent="0.2">
      <c r="A14" s="3" t="s">
        <v>456</v>
      </c>
      <c r="B14" s="3">
        <v>6</v>
      </c>
      <c r="C14" s="3" t="s">
        <v>1320</v>
      </c>
      <c r="E14" s="3" t="s">
        <v>1316</v>
      </c>
      <c r="F14" s="3">
        <v>1</v>
      </c>
      <c r="G14" s="3" t="s">
        <v>1322</v>
      </c>
      <c r="I14" s="6"/>
      <c r="J14" s="6"/>
      <c r="K14" s="6"/>
    </row>
    <row r="15" spans="1:11" x14ac:dyDescent="0.2">
      <c r="A15" s="3" t="s">
        <v>1296</v>
      </c>
      <c r="B15" s="3">
        <v>5</v>
      </c>
      <c r="C15" s="3" t="s">
        <v>1324</v>
      </c>
      <c r="E15" s="3" t="s">
        <v>482</v>
      </c>
      <c r="F15" s="3">
        <v>5</v>
      </c>
      <c r="G15" s="3" t="s">
        <v>1323</v>
      </c>
      <c r="I15" s="6"/>
      <c r="J15" s="6"/>
      <c r="K15" s="6"/>
    </row>
    <row r="16" spans="1:11" x14ac:dyDescent="0.2">
      <c r="A16" s="3" t="s">
        <v>482</v>
      </c>
      <c r="B16" s="3">
        <v>5</v>
      </c>
      <c r="C16" s="3" t="s">
        <v>1323</v>
      </c>
      <c r="E16" s="3" t="s">
        <v>1294</v>
      </c>
      <c r="F16" s="3">
        <v>5</v>
      </c>
      <c r="G16" s="3" t="s">
        <v>1323</v>
      </c>
      <c r="I16" s="6"/>
      <c r="J16" s="6"/>
      <c r="K16" s="6"/>
    </row>
    <row r="17" spans="1:11" x14ac:dyDescent="0.2">
      <c r="A17" s="3" t="s">
        <v>1294</v>
      </c>
      <c r="B17" s="3">
        <v>5</v>
      </c>
      <c r="C17" s="3" t="s">
        <v>1323</v>
      </c>
      <c r="E17" s="3" t="s">
        <v>1295</v>
      </c>
      <c r="F17" s="3">
        <v>4</v>
      </c>
      <c r="G17" s="3" t="s">
        <v>1323</v>
      </c>
      <c r="I17" s="6"/>
      <c r="J17" s="6"/>
      <c r="K17" s="6"/>
    </row>
    <row r="18" spans="1:11" x14ac:dyDescent="0.2">
      <c r="A18" s="3" t="s">
        <v>1292</v>
      </c>
      <c r="B18" s="3">
        <v>5</v>
      </c>
      <c r="C18" s="3" t="s">
        <v>1329</v>
      </c>
      <c r="E18" s="3" t="s">
        <v>1296</v>
      </c>
      <c r="F18" s="3">
        <v>5</v>
      </c>
      <c r="G18" s="3" t="s">
        <v>1324</v>
      </c>
      <c r="I18" s="6"/>
      <c r="J18" s="6"/>
      <c r="K18" s="6"/>
    </row>
    <row r="19" spans="1:11" x14ac:dyDescent="0.2">
      <c r="A19" s="3" t="s">
        <v>1299</v>
      </c>
      <c r="B19" s="3">
        <v>5</v>
      </c>
      <c r="C19" s="3" t="s">
        <v>1329</v>
      </c>
      <c r="E19" s="3" t="s">
        <v>1298</v>
      </c>
      <c r="F19" s="3">
        <v>3</v>
      </c>
      <c r="G19" s="3" t="s">
        <v>1324</v>
      </c>
      <c r="I19" s="6"/>
      <c r="J19" s="6"/>
      <c r="K19" s="6"/>
    </row>
    <row r="20" spans="1:11" x14ac:dyDescent="0.2">
      <c r="A20" s="3" t="s">
        <v>1297</v>
      </c>
      <c r="B20" s="3">
        <v>4</v>
      </c>
      <c r="C20" s="3" t="s">
        <v>1326</v>
      </c>
      <c r="E20" s="3" t="s">
        <v>1302</v>
      </c>
      <c r="F20" s="3">
        <v>3</v>
      </c>
      <c r="G20" s="3" t="s">
        <v>1324</v>
      </c>
      <c r="I20" s="6"/>
      <c r="J20" s="6"/>
      <c r="K20" s="6"/>
    </row>
    <row r="21" spans="1:11" x14ac:dyDescent="0.2">
      <c r="A21" s="3" t="s">
        <v>1301</v>
      </c>
      <c r="B21" s="3">
        <v>4</v>
      </c>
      <c r="C21" s="3" t="s">
        <v>1326</v>
      </c>
      <c r="E21" s="3" t="s">
        <v>1303</v>
      </c>
      <c r="F21" s="3">
        <v>3</v>
      </c>
      <c r="G21" s="3" t="s">
        <v>1324</v>
      </c>
      <c r="I21" s="6"/>
      <c r="J21" s="6"/>
      <c r="K21" s="6"/>
    </row>
    <row r="22" spans="1:11" x14ac:dyDescent="0.2">
      <c r="A22" s="3" t="s">
        <v>1295</v>
      </c>
      <c r="B22" s="3">
        <v>4</v>
      </c>
      <c r="C22" s="3" t="s">
        <v>1323</v>
      </c>
      <c r="E22" s="3" t="s">
        <v>558</v>
      </c>
      <c r="F22" s="3">
        <v>4</v>
      </c>
      <c r="G22" s="3" t="s">
        <v>1325</v>
      </c>
      <c r="I22" s="6"/>
      <c r="J22" s="6"/>
      <c r="K22" s="6"/>
    </row>
    <row r="23" spans="1:11" x14ac:dyDescent="0.2">
      <c r="A23" s="3" t="s">
        <v>558</v>
      </c>
      <c r="B23" s="3">
        <v>4</v>
      </c>
      <c r="C23" s="3" t="s">
        <v>1325</v>
      </c>
      <c r="E23" s="3" t="s">
        <v>1305</v>
      </c>
      <c r="F23" s="3">
        <v>1</v>
      </c>
      <c r="G23" s="3" t="s">
        <v>1327</v>
      </c>
      <c r="I23" s="6"/>
      <c r="J23" s="6"/>
      <c r="K23" s="6"/>
    </row>
    <row r="24" spans="1:11" x14ac:dyDescent="0.2">
      <c r="A24" s="3" t="s">
        <v>1298</v>
      </c>
      <c r="B24" s="3">
        <v>3</v>
      </c>
      <c r="C24" s="3" t="s">
        <v>1324</v>
      </c>
      <c r="E24" s="3" t="s">
        <v>1288</v>
      </c>
      <c r="F24" s="3">
        <v>15</v>
      </c>
      <c r="G24" s="3" t="s">
        <v>1326</v>
      </c>
      <c r="I24" s="6"/>
      <c r="J24" s="6"/>
      <c r="K24" s="6"/>
    </row>
    <row r="25" spans="1:11" x14ac:dyDescent="0.2">
      <c r="A25" s="3" t="s">
        <v>1302</v>
      </c>
      <c r="B25" s="3">
        <v>3</v>
      </c>
      <c r="C25" s="3" t="s">
        <v>1324</v>
      </c>
      <c r="E25" s="3" t="s">
        <v>1290</v>
      </c>
      <c r="F25" s="3">
        <v>7</v>
      </c>
      <c r="G25" s="3" t="s">
        <v>1326</v>
      </c>
      <c r="I25" s="6"/>
      <c r="J25" s="6"/>
      <c r="K25" s="6"/>
    </row>
    <row r="26" spans="1:11" x14ac:dyDescent="0.2">
      <c r="A26" s="3" t="s">
        <v>1303</v>
      </c>
      <c r="B26" s="3">
        <v>3</v>
      </c>
      <c r="C26" s="3" t="s">
        <v>1324</v>
      </c>
      <c r="E26" s="3" t="s">
        <v>1293</v>
      </c>
      <c r="F26" s="3">
        <v>6</v>
      </c>
      <c r="G26" s="3" t="s">
        <v>1326</v>
      </c>
      <c r="I26" s="6"/>
      <c r="J26" s="6"/>
      <c r="K26" s="6"/>
    </row>
    <row r="27" spans="1:11" x14ac:dyDescent="0.2">
      <c r="A27" s="3" t="s">
        <v>1300</v>
      </c>
      <c r="B27" s="3">
        <v>3</v>
      </c>
      <c r="C27" s="3" t="s">
        <v>1326</v>
      </c>
      <c r="E27" s="3" t="s">
        <v>1297</v>
      </c>
      <c r="F27" s="3">
        <v>4</v>
      </c>
      <c r="G27" s="3" t="s">
        <v>1326</v>
      </c>
      <c r="I27" s="6"/>
      <c r="J27" s="6"/>
      <c r="K27" s="6"/>
    </row>
    <row r="28" spans="1:11" x14ac:dyDescent="0.2">
      <c r="A28" s="3" t="s">
        <v>643</v>
      </c>
      <c r="B28" s="3">
        <v>2</v>
      </c>
      <c r="C28" s="3" t="s">
        <v>1326</v>
      </c>
      <c r="E28" s="3" t="s">
        <v>1301</v>
      </c>
      <c r="F28" s="3">
        <v>4</v>
      </c>
      <c r="G28" s="3" t="s">
        <v>1326</v>
      </c>
      <c r="I28" s="6"/>
      <c r="J28" s="6"/>
      <c r="K28" s="6"/>
    </row>
    <row r="29" spans="1:11" x14ac:dyDescent="0.2">
      <c r="A29" s="3" t="s">
        <v>1304</v>
      </c>
      <c r="B29" s="3">
        <v>2</v>
      </c>
      <c r="C29" s="3" t="s">
        <v>1329</v>
      </c>
      <c r="E29" s="3" t="s">
        <v>1300</v>
      </c>
      <c r="F29" s="3">
        <v>3</v>
      </c>
      <c r="G29" s="3" t="s">
        <v>1326</v>
      </c>
      <c r="I29" s="6"/>
      <c r="J29" s="6"/>
      <c r="K29" s="6"/>
    </row>
    <row r="30" spans="1:11" x14ac:dyDescent="0.2">
      <c r="A30" s="3" t="s">
        <v>1305</v>
      </c>
      <c r="B30" s="3">
        <v>1</v>
      </c>
      <c r="C30" s="3" t="s">
        <v>1327</v>
      </c>
      <c r="E30" s="3" t="s">
        <v>643</v>
      </c>
      <c r="F30" s="3">
        <v>2</v>
      </c>
      <c r="G30" s="3" t="s">
        <v>1326</v>
      </c>
      <c r="I30" s="6"/>
      <c r="J30" s="6"/>
      <c r="K30" s="6"/>
    </row>
    <row r="31" spans="1:11" x14ac:dyDescent="0.2">
      <c r="A31" s="3" t="s">
        <v>1306</v>
      </c>
      <c r="B31" s="3">
        <v>1</v>
      </c>
      <c r="C31" s="3" t="s">
        <v>1328</v>
      </c>
      <c r="E31" s="3" t="s">
        <v>1292</v>
      </c>
      <c r="F31" s="3">
        <v>5</v>
      </c>
      <c r="G31" s="3" t="s">
        <v>1329</v>
      </c>
      <c r="I31" s="6"/>
      <c r="J31" s="6"/>
      <c r="K31" s="6"/>
    </row>
    <row r="32" spans="1:11" x14ac:dyDescent="0.2">
      <c r="A32" s="3" t="s">
        <v>1307</v>
      </c>
      <c r="B32" s="3">
        <v>1</v>
      </c>
      <c r="C32" s="3" t="s">
        <v>1319</v>
      </c>
      <c r="E32" s="3" t="s">
        <v>1299</v>
      </c>
      <c r="F32" s="3">
        <v>5</v>
      </c>
      <c r="G32" s="3" t="s">
        <v>1329</v>
      </c>
      <c r="I32" s="6"/>
      <c r="J32" s="6"/>
      <c r="K32" s="6"/>
    </row>
    <row r="33" spans="1:11" x14ac:dyDescent="0.2">
      <c r="A33" s="3" t="s">
        <v>771</v>
      </c>
      <c r="B33" s="3">
        <v>1</v>
      </c>
      <c r="C33" s="3" t="s">
        <v>1322</v>
      </c>
      <c r="E33" s="3" t="s">
        <v>1304</v>
      </c>
      <c r="F33" s="3">
        <v>2</v>
      </c>
      <c r="G33" s="3" t="s">
        <v>1329</v>
      </c>
      <c r="I33" s="6"/>
      <c r="J33" s="6"/>
      <c r="K33" s="6"/>
    </row>
    <row r="34" spans="1:11" x14ac:dyDescent="0.2">
      <c r="A34" s="3" t="s">
        <v>1316</v>
      </c>
      <c r="B34" s="3">
        <v>1</v>
      </c>
      <c r="C34" s="3" t="s">
        <v>1322</v>
      </c>
      <c r="E34" s="3" t="s">
        <v>1308</v>
      </c>
      <c r="F34" s="3">
        <v>1</v>
      </c>
      <c r="G34" s="3" t="s">
        <v>1329</v>
      </c>
      <c r="I34" s="6"/>
      <c r="J34" s="6"/>
      <c r="K34" s="6"/>
    </row>
    <row r="35" spans="1:11" x14ac:dyDescent="0.2">
      <c r="A35" s="3" t="s">
        <v>797</v>
      </c>
      <c r="B35" s="3">
        <v>1</v>
      </c>
      <c r="C35" s="3" t="s">
        <v>1330</v>
      </c>
      <c r="E35" s="3" t="s">
        <v>1309</v>
      </c>
      <c r="F35" s="3">
        <v>1</v>
      </c>
      <c r="G35" s="3" t="s">
        <v>1329</v>
      </c>
      <c r="I35" s="6"/>
      <c r="J35" s="6"/>
      <c r="K35" s="6"/>
    </row>
    <row r="36" spans="1:11" x14ac:dyDescent="0.2">
      <c r="A36" s="3" t="s">
        <v>1308</v>
      </c>
      <c r="B36" s="3">
        <v>1</v>
      </c>
      <c r="C36" s="3" t="s">
        <v>1329</v>
      </c>
      <c r="E36" s="3" t="s">
        <v>1310</v>
      </c>
      <c r="F36" s="3">
        <v>1</v>
      </c>
      <c r="G36" s="3" t="s">
        <v>1329</v>
      </c>
      <c r="I36" s="6"/>
      <c r="J36" s="6"/>
      <c r="K36" s="6"/>
    </row>
    <row r="37" spans="1:11" x14ac:dyDescent="0.2">
      <c r="A37" s="3" t="s">
        <v>1309</v>
      </c>
      <c r="B37" s="3">
        <v>1</v>
      </c>
      <c r="C37" s="3" t="s">
        <v>1329</v>
      </c>
      <c r="E37" s="3" t="s">
        <v>1311</v>
      </c>
      <c r="F37" s="3">
        <v>1</v>
      </c>
      <c r="G37" s="3" t="s">
        <v>1329</v>
      </c>
      <c r="I37" s="6"/>
      <c r="J37" s="6"/>
      <c r="K37" s="6"/>
    </row>
    <row r="38" spans="1:11" x14ac:dyDescent="0.2">
      <c r="A38" s="3" t="s">
        <v>1310</v>
      </c>
      <c r="B38" s="3">
        <v>1</v>
      </c>
      <c r="C38" s="3" t="s">
        <v>1329</v>
      </c>
      <c r="E38" s="3" t="s">
        <v>1312</v>
      </c>
      <c r="F38" s="3">
        <v>1</v>
      </c>
      <c r="G38" s="3" t="s">
        <v>1329</v>
      </c>
      <c r="I38" s="6"/>
      <c r="J38" s="6"/>
      <c r="K38" s="6"/>
    </row>
    <row r="39" spans="1:11" x14ac:dyDescent="0.2">
      <c r="A39" s="3" t="s">
        <v>1311</v>
      </c>
      <c r="B39" s="3">
        <v>1</v>
      </c>
      <c r="C39" s="3" t="s">
        <v>1329</v>
      </c>
      <c r="E39" s="3" t="s">
        <v>1313</v>
      </c>
      <c r="F39" s="3">
        <v>1</v>
      </c>
      <c r="G39" s="3" t="s">
        <v>1329</v>
      </c>
      <c r="I39" s="6"/>
      <c r="J39" s="6"/>
      <c r="K39" s="6"/>
    </row>
    <row r="40" spans="1:11" x14ac:dyDescent="0.2">
      <c r="A40" s="3" t="s">
        <v>1312</v>
      </c>
      <c r="B40" s="3">
        <v>1</v>
      </c>
      <c r="C40" s="3" t="s">
        <v>1329</v>
      </c>
      <c r="E40" s="3" t="s">
        <v>1314</v>
      </c>
      <c r="F40" s="3">
        <v>1</v>
      </c>
      <c r="G40" s="3" t="s">
        <v>1329</v>
      </c>
      <c r="I40" s="6"/>
      <c r="J40" s="6"/>
      <c r="K40" s="6"/>
    </row>
    <row r="41" spans="1:11" x14ac:dyDescent="0.2">
      <c r="A41" s="3" t="s">
        <v>1313</v>
      </c>
      <c r="B41" s="3">
        <v>1</v>
      </c>
      <c r="C41" s="3" t="s">
        <v>1329</v>
      </c>
      <c r="E41" s="3" t="s">
        <v>797</v>
      </c>
      <c r="F41" s="3">
        <v>1</v>
      </c>
      <c r="G41" s="3" t="s">
        <v>1330</v>
      </c>
      <c r="I41" s="6"/>
      <c r="J41" s="6"/>
      <c r="K41" s="6"/>
    </row>
    <row r="42" spans="1:11" x14ac:dyDescent="0.2">
      <c r="A42" s="3" t="s">
        <v>1314</v>
      </c>
      <c r="B42" s="3">
        <v>1</v>
      </c>
      <c r="C42" s="3" t="s">
        <v>1329</v>
      </c>
      <c r="E42" s="3" t="s">
        <v>797</v>
      </c>
      <c r="F42" s="3">
        <v>1</v>
      </c>
      <c r="G42" s="3" t="s">
        <v>1330</v>
      </c>
      <c r="I42" s="6"/>
      <c r="J42" s="6"/>
      <c r="K42" s="6"/>
    </row>
    <row r="43" spans="1:11" x14ac:dyDescent="0.2">
      <c r="A43" s="3" t="s">
        <v>1315</v>
      </c>
      <c r="B43" s="3">
        <v>1</v>
      </c>
      <c r="C43" s="3" t="s">
        <v>1329</v>
      </c>
      <c r="E43" s="3" t="s">
        <v>808</v>
      </c>
      <c r="F43" s="3">
        <v>1</v>
      </c>
      <c r="G43" s="3" t="s">
        <v>1331</v>
      </c>
      <c r="I43" s="6"/>
      <c r="J43" s="6"/>
      <c r="K43" s="6"/>
    </row>
    <row r="44" spans="1:11" x14ac:dyDescent="0.2">
      <c r="A44" s="3" t="s">
        <v>808</v>
      </c>
      <c r="B44" s="3">
        <v>1</v>
      </c>
      <c r="C44" s="3" t="s">
        <v>1331</v>
      </c>
      <c r="E44" s="3" t="s">
        <v>1306</v>
      </c>
      <c r="F44" s="3">
        <v>1</v>
      </c>
      <c r="G44" s="3" t="s">
        <v>1328</v>
      </c>
      <c r="I44" s="6"/>
      <c r="J44" s="6"/>
      <c r="K44" s="6"/>
    </row>
  </sheetData>
  <sortState xmlns:xlrd2="http://schemas.microsoft.com/office/spreadsheetml/2017/richdata2" ref="E2:G44">
    <sortCondition ref="G2:G44"/>
    <sortCondition descending="1" ref="F2:F44"/>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6"/>
  <sheetViews>
    <sheetView workbookViewId="0">
      <selection activeCell="I13" sqref="I13"/>
    </sheetView>
  </sheetViews>
  <sheetFormatPr baseColWidth="10" defaultColWidth="8.83203125" defaultRowHeight="15" x14ac:dyDescent="0.2"/>
  <cols>
    <col min="2" max="2" width="47.5" customWidth="1"/>
    <col min="3" max="3" width="17.6640625" customWidth="1"/>
  </cols>
  <sheetData>
    <row r="1" spans="1:20" x14ac:dyDescent="0.2">
      <c r="A1" s="1" t="s">
        <v>40</v>
      </c>
      <c r="B1" s="1" t="s">
        <v>41</v>
      </c>
      <c r="C1" s="1" t="s">
        <v>26</v>
      </c>
      <c r="D1" s="1" t="s">
        <v>42</v>
      </c>
      <c r="E1" s="1" t="s">
        <v>43</v>
      </c>
      <c r="F1" s="1" t="s">
        <v>25</v>
      </c>
      <c r="G1" s="1" t="s">
        <v>44</v>
      </c>
      <c r="H1" s="1" t="s">
        <v>5</v>
      </c>
      <c r="I1" s="1" t="s">
        <v>6</v>
      </c>
      <c r="J1" s="1" t="s">
        <v>45</v>
      </c>
      <c r="K1" s="1" t="s">
        <v>46</v>
      </c>
      <c r="L1" s="1" t="s">
        <v>47</v>
      </c>
      <c r="M1" s="1" t="s">
        <v>1285</v>
      </c>
      <c r="N1" s="1" t="s">
        <v>48</v>
      </c>
      <c r="O1" s="1" t="s">
        <v>49</v>
      </c>
      <c r="P1" s="1" t="s">
        <v>24</v>
      </c>
      <c r="Q1" s="1" t="s">
        <v>50</v>
      </c>
      <c r="R1" s="1" t="s">
        <v>51</v>
      </c>
      <c r="S1" s="1" t="s">
        <v>52</v>
      </c>
      <c r="T1" s="1" t="s">
        <v>53</v>
      </c>
    </row>
    <row r="2" spans="1:20" x14ac:dyDescent="0.2">
      <c r="A2" s="3" t="s">
        <v>38</v>
      </c>
      <c r="B2" s="3" t="s">
        <v>812</v>
      </c>
      <c r="C2" s="3" t="s">
        <v>813</v>
      </c>
      <c r="D2" s="3">
        <v>0.29249700000000001</v>
      </c>
      <c r="E2" s="3">
        <v>5.0826200000000004E-3</v>
      </c>
      <c r="F2" s="3">
        <v>1</v>
      </c>
      <c r="G2" s="3">
        <v>1</v>
      </c>
      <c r="H2" s="3">
        <v>1</v>
      </c>
      <c r="I2" s="3">
        <v>1</v>
      </c>
      <c r="J2" s="3" t="s">
        <v>802</v>
      </c>
      <c r="K2" s="3" t="s">
        <v>814</v>
      </c>
      <c r="L2" s="3" t="s">
        <v>815</v>
      </c>
      <c r="M2" s="3" t="s">
        <v>802</v>
      </c>
      <c r="N2" s="3">
        <v>0</v>
      </c>
      <c r="O2" s="3">
        <v>4058.3489599999998</v>
      </c>
      <c r="P2" s="3" t="s">
        <v>38</v>
      </c>
      <c r="Q2" s="3" t="s">
        <v>38</v>
      </c>
      <c r="R2" s="3">
        <v>1.3159999999999999E-3</v>
      </c>
      <c r="S2" s="3">
        <v>0.12920000000000001</v>
      </c>
      <c r="T2" s="3">
        <v>0.17</v>
      </c>
    </row>
    <row r="3" spans="1:20" x14ac:dyDescent="0.2">
      <c r="A3" s="3" t="s">
        <v>38</v>
      </c>
      <c r="B3" s="3" t="s">
        <v>683</v>
      </c>
      <c r="C3" s="3" t="s">
        <v>684</v>
      </c>
      <c r="D3" s="3">
        <v>0.32775599999999999</v>
      </c>
      <c r="E3" s="3">
        <v>5.0826200000000004E-3</v>
      </c>
      <c r="F3" s="3">
        <v>1</v>
      </c>
      <c r="G3" s="3">
        <v>1</v>
      </c>
      <c r="H3" s="3">
        <v>1</v>
      </c>
      <c r="I3" s="3">
        <v>1</v>
      </c>
      <c r="J3" s="3" t="s">
        <v>672</v>
      </c>
      <c r="K3" s="3" t="s">
        <v>685</v>
      </c>
      <c r="L3" s="3" t="s">
        <v>686</v>
      </c>
      <c r="M3" s="3" t="s">
        <v>672</v>
      </c>
      <c r="N3" s="3">
        <v>0</v>
      </c>
      <c r="O3" s="3">
        <v>2356.1964899999998</v>
      </c>
      <c r="P3" s="3" t="s">
        <v>38</v>
      </c>
      <c r="Q3" s="3" t="s">
        <v>38</v>
      </c>
      <c r="R3" s="3">
        <v>1.3159999999999999E-3</v>
      </c>
      <c r="S3" s="3">
        <v>0.1547</v>
      </c>
      <c r="T3" s="3">
        <v>3.73</v>
      </c>
    </row>
    <row r="4" spans="1:20" x14ac:dyDescent="0.2">
      <c r="A4" s="3" t="s">
        <v>38</v>
      </c>
      <c r="B4" s="3" t="s">
        <v>87</v>
      </c>
      <c r="C4" s="3" t="s">
        <v>90</v>
      </c>
      <c r="D4" s="3">
        <v>7.5057700000000002E-3</v>
      </c>
      <c r="E4" s="3">
        <v>5.0826200000000004E-3</v>
      </c>
      <c r="F4" s="3">
        <v>1</v>
      </c>
      <c r="G4" s="3">
        <v>1</v>
      </c>
      <c r="H4" s="3">
        <v>3</v>
      </c>
      <c r="I4" s="3">
        <v>8</v>
      </c>
      <c r="J4" s="3" t="s">
        <v>28</v>
      </c>
      <c r="K4" s="3" t="s">
        <v>89</v>
      </c>
      <c r="L4" s="3" t="s">
        <v>91</v>
      </c>
      <c r="M4" s="3" t="s">
        <v>28</v>
      </c>
      <c r="N4" s="3">
        <v>0</v>
      </c>
      <c r="O4" s="3">
        <v>2640.0629800000002</v>
      </c>
      <c r="P4" s="3" t="s">
        <v>38</v>
      </c>
      <c r="Q4" s="3" t="s">
        <v>38</v>
      </c>
      <c r="R4" s="3">
        <v>1.3159999999999999E-3</v>
      </c>
      <c r="S4" s="3">
        <v>6.736E-4</v>
      </c>
      <c r="T4" s="3">
        <v>4.9000000000000004</v>
      </c>
    </row>
    <row r="5" spans="1:20" x14ac:dyDescent="0.2">
      <c r="A5" s="3" t="s">
        <v>38</v>
      </c>
      <c r="B5" s="3" t="s">
        <v>174</v>
      </c>
      <c r="C5" s="3" t="s">
        <v>176</v>
      </c>
      <c r="D5" s="3">
        <v>7.0662699999999995E-2</v>
      </c>
      <c r="E5" s="3">
        <v>5.0826200000000004E-3</v>
      </c>
      <c r="F5" s="3">
        <v>1</v>
      </c>
      <c r="G5" s="3">
        <v>1</v>
      </c>
      <c r="H5" s="3">
        <v>1</v>
      </c>
      <c r="I5" s="3">
        <v>1</v>
      </c>
      <c r="J5" s="3" t="s">
        <v>118</v>
      </c>
      <c r="K5" s="3" t="s">
        <v>175</v>
      </c>
      <c r="L5" s="3" t="s">
        <v>177</v>
      </c>
      <c r="M5" s="3" t="s">
        <v>118</v>
      </c>
      <c r="N5" s="3">
        <v>0</v>
      </c>
      <c r="O5" s="3">
        <v>2132.9132</v>
      </c>
      <c r="P5" s="3" t="s">
        <v>38</v>
      </c>
      <c r="Q5" s="3" t="s">
        <v>38</v>
      </c>
      <c r="R5" s="3">
        <v>1.3159999999999999E-3</v>
      </c>
      <c r="S5" s="3">
        <v>1.585E-2</v>
      </c>
      <c r="T5" s="3">
        <v>3.93</v>
      </c>
    </row>
    <row r="6" spans="1:20" x14ac:dyDescent="0.2">
      <c r="A6" s="3" t="s">
        <v>38</v>
      </c>
      <c r="B6" s="3" t="s">
        <v>213</v>
      </c>
      <c r="C6" s="3" t="s">
        <v>214</v>
      </c>
      <c r="D6" s="3">
        <v>0.10284500000000001</v>
      </c>
      <c r="E6" s="3">
        <v>5.0826200000000004E-3</v>
      </c>
      <c r="F6" s="3">
        <v>1</v>
      </c>
      <c r="G6" s="3">
        <v>1</v>
      </c>
      <c r="H6" s="3">
        <v>1</v>
      </c>
      <c r="I6" s="3">
        <v>3</v>
      </c>
      <c r="J6" s="3" t="s">
        <v>195</v>
      </c>
      <c r="K6" s="3" t="s">
        <v>215</v>
      </c>
      <c r="L6" s="3" t="s">
        <v>216</v>
      </c>
      <c r="M6" s="3" t="s">
        <v>195</v>
      </c>
      <c r="N6" s="3">
        <v>2</v>
      </c>
      <c r="O6" s="3">
        <v>3030.5156699999998</v>
      </c>
      <c r="P6" s="3" t="s">
        <v>38</v>
      </c>
      <c r="Q6" s="3" t="s">
        <v>38</v>
      </c>
      <c r="R6" s="3">
        <v>1.3159999999999999E-3</v>
      </c>
      <c r="S6" s="3">
        <v>2.726E-2</v>
      </c>
      <c r="T6" s="3">
        <v>4.07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2"/>
  <sheetViews>
    <sheetView workbookViewId="0">
      <selection sqref="A1:XFD1"/>
    </sheetView>
  </sheetViews>
  <sheetFormatPr baseColWidth="10" defaultColWidth="8.83203125" defaultRowHeight="15" x14ac:dyDescent="0.2"/>
  <sheetData>
    <row r="1" spans="1:1" x14ac:dyDescent="0.2">
      <c r="A1" t="s">
        <v>816</v>
      </c>
    </row>
    <row r="2" spans="1:1" x14ac:dyDescent="0.2">
      <c r="A2" t="s">
        <v>817</v>
      </c>
    </row>
    <row r="3" spans="1:1" x14ac:dyDescent="0.2">
      <c r="A3" t="s">
        <v>816</v>
      </c>
    </row>
    <row r="4" spans="1:1" x14ac:dyDescent="0.2">
      <c r="A4" t="s">
        <v>818</v>
      </c>
    </row>
    <row r="5" spans="1:1" x14ac:dyDescent="0.2">
      <c r="A5" t="s">
        <v>819</v>
      </c>
    </row>
    <row r="6" spans="1:1" x14ac:dyDescent="0.2">
      <c r="A6" t="s">
        <v>820</v>
      </c>
    </row>
    <row r="8" spans="1:1" x14ac:dyDescent="0.2">
      <c r="A8" t="s">
        <v>821</v>
      </c>
    </row>
    <row r="9" spans="1:1" x14ac:dyDescent="0.2">
      <c r="A9" t="s">
        <v>822</v>
      </c>
    </row>
    <row r="10" spans="1:1" x14ac:dyDescent="0.2">
      <c r="A10" t="s">
        <v>823</v>
      </c>
    </row>
    <row r="13" spans="1:1" x14ac:dyDescent="0.2">
      <c r="A13" t="s">
        <v>824</v>
      </c>
    </row>
    <row r="14" spans="1:1" x14ac:dyDescent="0.2">
      <c r="A14" t="s">
        <v>825</v>
      </c>
    </row>
    <row r="15" spans="1:1" x14ac:dyDescent="0.2">
      <c r="A15" t="s">
        <v>824</v>
      </c>
    </row>
    <row r="17" spans="1:1" x14ac:dyDescent="0.2">
      <c r="A17" t="s">
        <v>826</v>
      </c>
    </row>
    <row r="18" spans="1:1" x14ac:dyDescent="0.2">
      <c r="A18" t="s">
        <v>827</v>
      </c>
    </row>
    <row r="19" spans="1:1" x14ac:dyDescent="0.2">
      <c r="A19" t="s">
        <v>828</v>
      </c>
    </row>
    <row r="20" spans="1:1" x14ac:dyDescent="0.2">
      <c r="A20" t="s">
        <v>829</v>
      </c>
    </row>
    <row r="21" spans="1:1" x14ac:dyDescent="0.2">
      <c r="A21" t="s">
        <v>830</v>
      </c>
    </row>
    <row r="23" spans="1:1" x14ac:dyDescent="0.2">
      <c r="A23" t="s">
        <v>824</v>
      </c>
    </row>
    <row r="24" spans="1:1" x14ac:dyDescent="0.2">
      <c r="A24" t="s">
        <v>831</v>
      </c>
    </row>
    <row r="25" spans="1:1" x14ac:dyDescent="0.2">
      <c r="A25" t="s">
        <v>824</v>
      </c>
    </row>
    <row r="26" spans="1:1" x14ac:dyDescent="0.2">
      <c r="A26" t="s">
        <v>832</v>
      </c>
    </row>
    <row r="27" spans="1:1" x14ac:dyDescent="0.2">
      <c r="A27" t="e">
        <f ca="1">- File Name(s):  D:\dmallet\030222\DM021122_030322_DM_1.raw</f>
        <v>#NAME?</v>
      </c>
    </row>
    <row r="28" spans="1:1" x14ac:dyDescent="0.2">
      <c r="A28" t="s">
        <v>833</v>
      </c>
    </row>
    <row r="29" spans="1:1" x14ac:dyDescent="0.2">
      <c r="A29" t="e">
        <f>- Enzyme Name:  Trypsin (Full)</f>
        <v>#NAME?</v>
      </c>
    </row>
    <row r="30" spans="1:1" x14ac:dyDescent="0.2">
      <c r="A30" t="s">
        <v>834</v>
      </c>
    </row>
    <row r="31" spans="1:1" x14ac:dyDescent="0.2">
      <c r="A31" t="s">
        <v>835</v>
      </c>
    </row>
    <row r="32" spans="1:1" x14ac:dyDescent="0.2">
      <c r="A32" t="s">
        <v>836</v>
      </c>
    </row>
    <row r="33" spans="1:1" x14ac:dyDescent="0.2">
      <c r="A33" t="s">
        <v>837</v>
      </c>
    </row>
    <row r="35" spans="1:1" x14ac:dyDescent="0.2">
      <c r="A35" t="s">
        <v>838</v>
      </c>
    </row>
    <row r="36" spans="1:1" x14ac:dyDescent="0.2">
      <c r="A36" t="e">
        <f>- Regression Model:  Non-linear Regression</f>
        <v>#NAME?</v>
      </c>
    </row>
    <row r="37" spans="1:1" x14ac:dyDescent="0.2">
      <c r="A37" t="e">
        <f>- Parameter Tuning:  Coarse</f>
        <v>#NAME?</v>
      </c>
    </row>
    <row r="39" spans="1:1" x14ac:dyDescent="0.2">
      <c r="A39" t="s">
        <v>824</v>
      </c>
    </row>
    <row r="40" spans="1:1" x14ac:dyDescent="0.2">
      <c r="A40" t="s">
        <v>839</v>
      </c>
    </row>
    <row r="41" spans="1:1" x14ac:dyDescent="0.2">
      <c r="A41" t="s">
        <v>824</v>
      </c>
    </row>
    <row r="42" spans="1:1" x14ac:dyDescent="0.2">
      <c r="A42" t="s">
        <v>840</v>
      </c>
    </row>
    <row r="43" spans="1:1" x14ac:dyDescent="0.2">
      <c r="A43" t="e">
        <f>- Precursor Selection:  Use MS1 Precursor</f>
        <v>#NAME?</v>
      </c>
    </row>
    <row r="44" spans="1:1" x14ac:dyDescent="0.2">
      <c r="A44" t="s">
        <v>841</v>
      </c>
    </row>
    <row r="45" spans="1:1" x14ac:dyDescent="0.2">
      <c r="A45" t="e">
        <f>- Provide Profile Spectra:  Automatic</f>
        <v>#NAME?</v>
      </c>
    </row>
    <row r="47" spans="1:1" x14ac:dyDescent="0.2">
      <c r="A47" t="s">
        <v>842</v>
      </c>
    </row>
    <row r="48" spans="1:1" x14ac:dyDescent="0.2">
      <c r="A48" t="s">
        <v>843</v>
      </c>
    </row>
    <row r="49" spans="1:1" x14ac:dyDescent="0.2">
      <c r="A49" t="s">
        <v>844</v>
      </c>
    </row>
    <row r="50" spans="1:1" x14ac:dyDescent="0.2">
      <c r="A50" t="s">
        <v>845</v>
      </c>
    </row>
    <row r="51" spans="1:1" x14ac:dyDescent="0.2">
      <c r="A51" t="s">
        <v>846</v>
      </c>
    </row>
    <row r="52" spans="1:1" x14ac:dyDescent="0.2">
      <c r="A52" t="s">
        <v>847</v>
      </c>
    </row>
    <row r="53" spans="1:1" x14ac:dyDescent="0.2">
      <c r="A53" t="s">
        <v>848</v>
      </c>
    </row>
    <row r="54" spans="1:1" x14ac:dyDescent="0.2">
      <c r="A54" t="s">
        <v>849</v>
      </c>
    </row>
    <row r="55" spans="1:1" x14ac:dyDescent="0.2">
      <c r="A55" t="s">
        <v>850</v>
      </c>
    </row>
    <row r="56" spans="1:1" x14ac:dyDescent="0.2">
      <c r="A56" t="s">
        <v>851</v>
      </c>
    </row>
    <row r="57" spans="1:1" x14ac:dyDescent="0.2">
      <c r="A57" t="s">
        <v>852</v>
      </c>
    </row>
    <row r="59" spans="1:1" x14ac:dyDescent="0.2">
      <c r="A59" t="s">
        <v>853</v>
      </c>
    </row>
    <row r="60" spans="1:1" x14ac:dyDescent="0.2">
      <c r="A60" t="e">
        <f>- MS Order:  Is Not MS1</f>
        <v>#NAME?</v>
      </c>
    </row>
    <row r="61" spans="1:1" x14ac:dyDescent="0.2">
      <c r="A61" t="s">
        <v>854</v>
      </c>
    </row>
    <row r="62" spans="1:1" x14ac:dyDescent="0.2">
      <c r="A62" t="s">
        <v>855</v>
      </c>
    </row>
    <row r="63" spans="1:1" x14ac:dyDescent="0.2">
      <c r="A63" t="e">
        <f>- Scan Type:  Is Full</f>
        <v>#NAME?</v>
      </c>
    </row>
    <row r="65" spans="1:1" x14ac:dyDescent="0.2">
      <c r="A65" t="s">
        <v>856</v>
      </c>
    </row>
    <row r="66" spans="1:1" x14ac:dyDescent="0.2">
      <c r="A66" t="s">
        <v>857</v>
      </c>
    </row>
    <row r="68" spans="1:1" x14ac:dyDescent="0.2">
      <c r="A68" t="s">
        <v>858</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859</v>
      </c>
    </row>
    <row r="74" spans="1:1" x14ac:dyDescent="0.2">
      <c r="A74" t="s">
        <v>860</v>
      </c>
    </row>
    <row r="75" spans="1:1" x14ac:dyDescent="0.2">
      <c r="A75" t="s">
        <v>861</v>
      </c>
    </row>
    <row r="77" spans="1:1" x14ac:dyDescent="0.2">
      <c r="A77" t="s">
        <v>862</v>
      </c>
    </row>
    <row r="78" spans="1:1" x14ac:dyDescent="0.2">
      <c r="A78" t="s">
        <v>863</v>
      </c>
    </row>
    <row r="79" spans="1:1" x14ac:dyDescent="0.2">
      <c r="A79" t="s">
        <v>864</v>
      </c>
    </row>
    <row r="81" spans="1:1" x14ac:dyDescent="0.2">
      <c r="A81" t="s">
        <v>824</v>
      </c>
    </row>
    <row r="82" spans="1:1" x14ac:dyDescent="0.2">
      <c r="A82" t="s">
        <v>865</v>
      </c>
    </row>
    <row r="83" spans="1:1" x14ac:dyDescent="0.2">
      <c r="A83" t="s">
        <v>824</v>
      </c>
    </row>
    <row r="84" spans="1:1" x14ac:dyDescent="0.2">
      <c r="A84" t="s">
        <v>866</v>
      </c>
    </row>
    <row r="85" spans="1:1" x14ac:dyDescent="0.2">
      <c r="A85" t="s">
        <v>833</v>
      </c>
    </row>
    <row r="86" spans="1:1" x14ac:dyDescent="0.2">
      <c r="A86" t="e">
        <f>- Enzyme Name:  Trypsin (Full)</f>
        <v>#NAME?</v>
      </c>
    </row>
    <row r="87" spans="1:1" x14ac:dyDescent="0.2">
      <c r="A87" t="s">
        <v>867</v>
      </c>
    </row>
    <row r="88" spans="1:1" x14ac:dyDescent="0.2">
      <c r="A88" t="s">
        <v>868</v>
      </c>
    </row>
    <row r="89" spans="1:1" x14ac:dyDescent="0.2">
      <c r="A89" t="s">
        <v>869</v>
      </c>
    </row>
    <row r="90" spans="1:1" x14ac:dyDescent="0.2">
      <c r="A90" t="s">
        <v>870</v>
      </c>
    </row>
    <row r="92" spans="1:1" x14ac:dyDescent="0.2">
      <c r="A92" t="s">
        <v>871</v>
      </c>
    </row>
    <row r="93" spans="1:1" x14ac:dyDescent="0.2">
      <c r="A93" t="s">
        <v>872</v>
      </c>
    </row>
    <row r="94" spans="1:1" x14ac:dyDescent="0.2">
      <c r="A94" t="s">
        <v>873</v>
      </c>
    </row>
    <row r="95" spans="1:1" x14ac:dyDescent="0.2">
      <c r="A95" t="s">
        <v>874</v>
      </c>
    </row>
    <row r="96" spans="1:1" x14ac:dyDescent="0.2">
      <c r="A96" t="s">
        <v>875</v>
      </c>
    </row>
    <row r="98" spans="1:1" x14ac:dyDescent="0.2">
      <c r="A98" t="s">
        <v>876</v>
      </c>
    </row>
    <row r="99" spans="1:1" x14ac:dyDescent="0.2">
      <c r="A99" t="s">
        <v>877</v>
      </c>
    </row>
    <row r="100" spans="1:1" x14ac:dyDescent="0.2">
      <c r="A100" t="s">
        <v>878</v>
      </c>
    </row>
    <row r="101" spans="1:1" x14ac:dyDescent="0.2">
      <c r="A101" t="s">
        <v>879</v>
      </c>
    </row>
    <row r="102" spans="1:1" x14ac:dyDescent="0.2">
      <c r="A102" t="s">
        <v>880</v>
      </c>
    </row>
    <row r="103" spans="1:1" x14ac:dyDescent="0.2">
      <c r="A103" t="s">
        <v>881</v>
      </c>
    </row>
    <row r="104" spans="1:1" x14ac:dyDescent="0.2">
      <c r="A104" t="s">
        <v>882</v>
      </c>
    </row>
    <row r="105" spans="1:1" x14ac:dyDescent="0.2">
      <c r="A105" t="s">
        <v>883</v>
      </c>
    </row>
    <row r="106" spans="1:1" x14ac:dyDescent="0.2">
      <c r="A106" t="s">
        <v>884</v>
      </c>
    </row>
    <row r="107" spans="1:1" x14ac:dyDescent="0.2">
      <c r="A107" t="s">
        <v>885</v>
      </c>
    </row>
    <row r="108" spans="1:1" x14ac:dyDescent="0.2">
      <c r="A108" t="s">
        <v>886</v>
      </c>
    </row>
    <row r="110" spans="1:1" x14ac:dyDescent="0.2">
      <c r="A110" t="s">
        <v>887</v>
      </c>
    </row>
    <row r="111" spans="1:1" x14ac:dyDescent="0.2">
      <c r="A111" t="s">
        <v>888</v>
      </c>
    </row>
    <row r="112" spans="1:1" x14ac:dyDescent="0.2">
      <c r="A112" t="s">
        <v>889</v>
      </c>
    </row>
    <row r="113" spans="1:1" x14ac:dyDescent="0.2">
      <c r="A113" t="s">
        <v>836</v>
      </c>
    </row>
    <row r="114" spans="1:1" x14ac:dyDescent="0.2">
      <c r="A114" t="s">
        <v>890</v>
      </c>
    </row>
    <row r="116" spans="1:1" x14ac:dyDescent="0.2">
      <c r="A116" t="s">
        <v>891</v>
      </c>
    </row>
    <row r="117" spans="1:1" x14ac:dyDescent="0.2">
      <c r="A117" t="s">
        <v>892</v>
      </c>
    </row>
    <row r="119" spans="1:1" x14ac:dyDescent="0.2">
      <c r="A119" t="s">
        <v>893</v>
      </c>
    </row>
    <row r="120" spans="1:1" x14ac:dyDescent="0.2">
      <c r="A120" t="s">
        <v>837</v>
      </c>
    </row>
    <row r="122" spans="1:1" x14ac:dyDescent="0.2">
      <c r="A122" t="s">
        <v>824</v>
      </c>
    </row>
    <row r="123" spans="1:1" x14ac:dyDescent="0.2">
      <c r="A123" t="s">
        <v>894</v>
      </c>
    </row>
    <row r="124" spans="1:1" x14ac:dyDescent="0.2">
      <c r="A124" t="s">
        <v>824</v>
      </c>
    </row>
    <row r="125" spans="1:1" x14ac:dyDescent="0.2">
      <c r="A125" t="s">
        <v>895</v>
      </c>
    </row>
    <row r="126" spans="1:1" x14ac:dyDescent="0.2">
      <c r="A126" t="e">
        <f>- Target/Decoy Selection:  Concatenated</f>
        <v>#NAME?</v>
      </c>
    </row>
    <row r="127" spans="1:1" x14ac:dyDescent="0.2">
      <c r="A127" t="e">
        <f>- Validation based on:  q-Value</f>
        <v>#NAME?</v>
      </c>
    </row>
    <row r="129" spans="1:1" x14ac:dyDescent="0.2">
      <c r="A129" t="s">
        <v>896</v>
      </c>
    </row>
    <row r="130" spans="1:1" x14ac:dyDescent="0.2">
      <c r="A130" t="s">
        <v>897</v>
      </c>
    </row>
    <row r="131" spans="1:1" x14ac:dyDescent="0.2">
      <c r="A131" t="s">
        <v>898</v>
      </c>
    </row>
    <row r="133" spans="1:1" x14ac:dyDescent="0.2">
      <c r="A133" t="s">
        <v>899</v>
      </c>
    </row>
    <row r="134" spans="1:1" x14ac:dyDescent="0.2">
      <c r="A134" t="s">
        <v>900</v>
      </c>
    </row>
    <row r="135" spans="1:1" x14ac:dyDescent="0.2">
      <c r="A135" t="s">
        <v>901</v>
      </c>
    </row>
    <row r="137" spans="1:1" x14ac:dyDescent="0.2">
      <c r="A137" t="s">
        <v>824</v>
      </c>
    </row>
    <row r="138" spans="1:1" x14ac:dyDescent="0.2">
      <c r="A138" t="s">
        <v>902</v>
      </c>
    </row>
    <row r="139" spans="1:1" x14ac:dyDescent="0.2">
      <c r="A139" t="s">
        <v>824</v>
      </c>
    </row>
    <row r="140" spans="1:1" x14ac:dyDescent="0.2">
      <c r="A140" t="s">
        <v>903</v>
      </c>
    </row>
    <row r="141" spans="1:1" x14ac:dyDescent="0.2">
      <c r="A141" t="s">
        <v>904</v>
      </c>
    </row>
    <row r="142" spans="1:1" x14ac:dyDescent="0.2">
      <c r="A142" t="s">
        <v>905</v>
      </c>
    </row>
    <row r="143" spans="1:1" x14ac:dyDescent="0.2">
      <c r="A143" t="s">
        <v>906</v>
      </c>
    </row>
    <row r="144" spans="1:1" x14ac:dyDescent="0.2">
      <c r="A144" t="s">
        <v>907</v>
      </c>
    </row>
    <row r="145" spans="1:3" x14ac:dyDescent="0.2">
      <c r="A145" t="s">
        <v>835</v>
      </c>
    </row>
    <row r="146" spans="1:3" x14ac:dyDescent="0.2">
      <c r="A146" t="e">
        <f>- Consider Neutral Loss peaks for CID, HCD and EThcD:  Automatic</f>
        <v>#NAME?</v>
      </c>
    </row>
    <row r="147" spans="1:3" x14ac:dyDescent="0.2">
      <c r="A147" t="s">
        <v>908</v>
      </c>
    </row>
    <row r="148" spans="1:3" x14ac:dyDescent="0.2">
      <c r="A148" t="s">
        <v>909</v>
      </c>
    </row>
    <row r="150" spans="1:3" x14ac:dyDescent="0.2">
      <c r="A150" t="s">
        <v>910</v>
      </c>
    </row>
    <row r="151" spans="1:3" x14ac:dyDescent="0.2">
      <c r="A151" t="s">
        <v>911</v>
      </c>
    </row>
    <row r="152" spans="1:3" x14ac:dyDescent="0.2">
      <c r="A152" t="s">
        <v>912</v>
      </c>
    </row>
    <row r="155" spans="1:3" x14ac:dyDescent="0.2">
      <c r="A155" t="s">
        <v>824</v>
      </c>
    </row>
    <row r="156" spans="1:3" x14ac:dyDescent="0.2">
      <c r="A156" t="s">
        <v>913</v>
      </c>
    </row>
    <row r="157" spans="1:3" x14ac:dyDescent="0.2">
      <c r="A157" t="s">
        <v>824</v>
      </c>
    </row>
    <row r="158" spans="1:3" x14ac:dyDescent="0.2">
      <c r="A158" s="5">
        <v>44623.53125</v>
      </c>
      <c r="B158" t="s">
        <v>914</v>
      </c>
      <c r="C158" t="s">
        <v>915</v>
      </c>
    </row>
    <row r="159" spans="1:3" x14ac:dyDescent="0.2">
      <c r="A159" s="5">
        <v>44623.53125</v>
      </c>
      <c r="B159" t="s">
        <v>916</v>
      </c>
      <c r="C159" t="s">
        <v>917</v>
      </c>
    </row>
    <row r="160" spans="1:3" x14ac:dyDescent="0.2">
      <c r="A160" s="5">
        <v>44623.531944444447</v>
      </c>
      <c r="B160" t="s">
        <v>916</v>
      </c>
      <c r="C160" t="s">
        <v>918</v>
      </c>
    </row>
    <row r="161" spans="1:3" x14ac:dyDescent="0.2">
      <c r="A161" s="5">
        <v>44623.531944444447</v>
      </c>
      <c r="B161" t="s">
        <v>916</v>
      </c>
      <c r="C161" t="s">
        <v>919</v>
      </c>
    </row>
    <row r="162" spans="1:3" x14ac:dyDescent="0.2">
      <c r="A162" s="5">
        <v>44623.531944444447</v>
      </c>
      <c r="B162" t="s">
        <v>916</v>
      </c>
      <c r="C162" t="s">
        <v>920</v>
      </c>
    </row>
    <row r="163" spans="1:3" x14ac:dyDescent="0.2">
      <c r="A163" s="5">
        <v>44623.531944444447</v>
      </c>
      <c r="B163" t="s">
        <v>916</v>
      </c>
      <c r="C163" t="s">
        <v>921</v>
      </c>
    </row>
    <row r="164" spans="1:3" x14ac:dyDescent="0.2">
      <c r="A164" s="5">
        <v>44623.531944444447</v>
      </c>
      <c r="B164" t="s">
        <v>916</v>
      </c>
      <c r="C164" t="s">
        <v>922</v>
      </c>
    </row>
    <row r="165" spans="1:3" x14ac:dyDescent="0.2">
      <c r="A165" s="5">
        <v>44623.531944444447</v>
      </c>
      <c r="B165" t="s">
        <v>916</v>
      </c>
      <c r="C165" t="s">
        <v>923</v>
      </c>
    </row>
    <row r="166" spans="1:3" x14ac:dyDescent="0.2">
      <c r="A166" s="5">
        <v>44623.531944444447</v>
      </c>
      <c r="B166" t="s">
        <v>916</v>
      </c>
      <c r="C166" t="s">
        <v>924</v>
      </c>
    </row>
    <row r="167" spans="1:3" x14ac:dyDescent="0.2">
      <c r="A167" s="5">
        <v>44623.531944444447</v>
      </c>
      <c r="B167" t="s">
        <v>916</v>
      </c>
      <c r="C167" t="s">
        <v>925</v>
      </c>
    </row>
    <row r="168" spans="1:3" x14ac:dyDescent="0.2">
      <c r="A168" s="5">
        <v>44623.532638888886</v>
      </c>
      <c r="B168" t="s">
        <v>916</v>
      </c>
      <c r="C168" t="s">
        <v>926</v>
      </c>
    </row>
    <row r="169" spans="1:3" x14ac:dyDescent="0.2">
      <c r="A169" s="5">
        <v>44623.532638888886</v>
      </c>
      <c r="B169" t="s">
        <v>916</v>
      </c>
      <c r="C169" t="s">
        <v>927</v>
      </c>
    </row>
    <row r="170" spans="1:3" x14ac:dyDescent="0.2">
      <c r="A170" s="5">
        <v>44623.532638888886</v>
      </c>
      <c r="B170" t="s">
        <v>916</v>
      </c>
      <c r="C170" t="s">
        <v>928</v>
      </c>
    </row>
    <row r="171" spans="1:3" x14ac:dyDescent="0.2">
      <c r="A171" s="5">
        <v>44623.532638888886</v>
      </c>
      <c r="B171" t="s">
        <v>916</v>
      </c>
      <c r="C171" t="s">
        <v>929</v>
      </c>
    </row>
    <row r="172" spans="1:3" x14ac:dyDescent="0.2">
      <c r="A172" s="5">
        <v>44623.532638888886</v>
      </c>
      <c r="B172" t="s">
        <v>916</v>
      </c>
      <c r="C172" t="s">
        <v>930</v>
      </c>
    </row>
    <row r="173" spans="1:3" x14ac:dyDescent="0.2">
      <c r="A173" s="5">
        <v>44623.532638888886</v>
      </c>
      <c r="B173" t="s">
        <v>931</v>
      </c>
      <c r="C173" t="s">
        <v>932</v>
      </c>
    </row>
    <row r="174" spans="1:3" x14ac:dyDescent="0.2">
      <c r="A174" s="5">
        <v>44623.532638888886</v>
      </c>
      <c r="B174" t="s">
        <v>931</v>
      </c>
      <c r="C174" t="s">
        <v>933</v>
      </c>
    </row>
    <row r="175" spans="1:3" x14ac:dyDescent="0.2">
      <c r="A175" s="5">
        <v>44623.532638888886</v>
      </c>
      <c r="B175" t="s">
        <v>934</v>
      </c>
      <c r="C175" t="s">
        <v>935</v>
      </c>
    </row>
    <row r="176" spans="1:3" x14ac:dyDescent="0.2">
      <c r="A176" s="5">
        <v>44623.532638888886</v>
      </c>
      <c r="B176" t="s">
        <v>934</v>
      </c>
      <c r="C176" t="s">
        <v>936</v>
      </c>
    </row>
    <row r="177" spans="1:3" x14ac:dyDescent="0.2">
      <c r="A177" s="5">
        <v>44623.535416666666</v>
      </c>
      <c r="B177" t="s">
        <v>931</v>
      </c>
      <c r="C177" t="s">
        <v>937</v>
      </c>
    </row>
    <row r="178" spans="1:3" x14ac:dyDescent="0.2">
      <c r="A178" s="5">
        <v>44623.535416666666</v>
      </c>
      <c r="B178" t="s">
        <v>931</v>
      </c>
      <c r="C178" t="s">
        <v>938</v>
      </c>
    </row>
    <row r="179" spans="1:3" x14ac:dyDescent="0.2">
      <c r="A179" s="5">
        <v>44623.535416666666</v>
      </c>
      <c r="B179" t="s">
        <v>931</v>
      </c>
      <c r="C179" t="s">
        <v>939</v>
      </c>
    </row>
    <row r="180" spans="1:3" x14ac:dyDescent="0.2">
      <c r="A180" s="5">
        <v>44623.535416666666</v>
      </c>
      <c r="B180" t="s">
        <v>934</v>
      </c>
      <c r="C180" t="s">
        <v>940</v>
      </c>
    </row>
    <row r="181" spans="1:3" x14ac:dyDescent="0.2">
      <c r="A181" s="5">
        <v>44623.535416666666</v>
      </c>
      <c r="B181" t="s">
        <v>934</v>
      </c>
      <c r="C181" t="s">
        <v>919</v>
      </c>
    </row>
    <row r="182" spans="1:3" x14ac:dyDescent="0.2">
      <c r="A182" s="5">
        <v>44623.535416666666</v>
      </c>
      <c r="B182" t="s">
        <v>934</v>
      </c>
      <c r="C182" t="s">
        <v>920</v>
      </c>
    </row>
    <row r="183" spans="1:3" x14ac:dyDescent="0.2">
      <c r="A183" s="5">
        <v>44623.535416666666</v>
      </c>
      <c r="B183" t="s">
        <v>934</v>
      </c>
      <c r="C183" t="s">
        <v>941</v>
      </c>
    </row>
    <row r="184" spans="1:3" x14ac:dyDescent="0.2">
      <c r="A184" s="5">
        <v>44623.535416666666</v>
      </c>
      <c r="B184" t="s">
        <v>934</v>
      </c>
      <c r="C184" t="s">
        <v>942</v>
      </c>
    </row>
    <row r="185" spans="1:3" x14ac:dyDescent="0.2">
      <c r="A185" s="5">
        <v>44623.535416666666</v>
      </c>
      <c r="B185" t="s">
        <v>934</v>
      </c>
      <c r="C185" t="s">
        <v>923</v>
      </c>
    </row>
    <row r="186" spans="1:3" x14ac:dyDescent="0.2">
      <c r="A186" s="5">
        <v>44623.535416666666</v>
      </c>
      <c r="B186" t="s">
        <v>934</v>
      </c>
      <c r="C186" t="s">
        <v>924</v>
      </c>
    </row>
    <row r="187" spans="1:3" x14ac:dyDescent="0.2">
      <c r="A187" s="5">
        <v>44623.535416666666</v>
      </c>
      <c r="B187" t="s">
        <v>934</v>
      </c>
      <c r="C187" t="s">
        <v>925</v>
      </c>
    </row>
    <row r="188" spans="1:3" x14ac:dyDescent="0.2">
      <c r="A188" s="5">
        <v>44623.536111111112</v>
      </c>
      <c r="B188" t="s">
        <v>934</v>
      </c>
      <c r="C188" t="s">
        <v>943</v>
      </c>
    </row>
    <row r="189" spans="1:3" x14ac:dyDescent="0.2">
      <c r="A189" s="5">
        <v>44623.536111111112</v>
      </c>
      <c r="B189" t="s">
        <v>934</v>
      </c>
      <c r="C189" t="s">
        <v>944</v>
      </c>
    </row>
    <row r="190" spans="1:3" x14ac:dyDescent="0.2">
      <c r="A190" s="5">
        <v>44623.536805555559</v>
      </c>
      <c r="B190" t="s">
        <v>934</v>
      </c>
      <c r="C190" t="s">
        <v>945</v>
      </c>
    </row>
    <row r="191" spans="1:3" x14ac:dyDescent="0.2">
      <c r="A191" s="5">
        <v>44623.536805555559</v>
      </c>
      <c r="B191" t="s">
        <v>934</v>
      </c>
      <c r="C191" t="s">
        <v>946</v>
      </c>
    </row>
    <row r="192" spans="1:3" x14ac:dyDescent="0.2">
      <c r="A192" s="5">
        <v>44623.536805555559</v>
      </c>
      <c r="B192" t="s">
        <v>934</v>
      </c>
      <c r="C192" t="s">
        <v>947</v>
      </c>
    </row>
    <row r="193" spans="1:3" x14ac:dyDescent="0.2">
      <c r="A193" s="5">
        <v>44623.536805555559</v>
      </c>
      <c r="B193" t="s">
        <v>934</v>
      </c>
      <c r="C193" t="s">
        <v>948</v>
      </c>
    </row>
    <row r="194" spans="1:3" x14ac:dyDescent="0.2">
      <c r="A194" s="5">
        <v>44623.536805555559</v>
      </c>
      <c r="B194" t="s">
        <v>934</v>
      </c>
      <c r="C194" t="s">
        <v>949</v>
      </c>
    </row>
    <row r="195" spans="1:3" x14ac:dyDescent="0.2">
      <c r="A195" s="5">
        <v>44623.536805555559</v>
      </c>
      <c r="B195" t="s">
        <v>934</v>
      </c>
      <c r="C195" t="s">
        <v>950</v>
      </c>
    </row>
    <row r="196" spans="1:3" x14ac:dyDescent="0.2">
      <c r="A196" s="5">
        <v>44623.536805555559</v>
      </c>
      <c r="B196" t="s">
        <v>934</v>
      </c>
      <c r="C196" t="s">
        <v>951</v>
      </c>
    </row>
    <row r="197" spans="1:3" x14ac:dyDescent="0.2">
      <c r="A197" s="5">
        <v>44623.536805555559</v>
      </c>
      <c r="B197" t="s">
        <v>934</v>
      </c>
      <c r="C197" t="s">
        <v>952</v>
      </c>
    </row>
    <row r="198" spans="1:3" x14ac:dyDescent="0.2">
      <c r="A198" s="5">
        <v>44623.536805555559</v>
      </c>
      <c r="B198" t="s">
        <v>934</v>
      </c>
      <c r="C198" t="s">
        <v>953</v>
      </c>
    </row>
    <row r="199" spans="1:3" x14ac:dyDescent="0.2">
      <c r="A199" s="5">
        <v>44623.536805555559</v>
      </c>
      <c r="B199" t="s">
        <v>934</v>
      </c>
      <c r="C199" t="s">
        <v>954</v>
      </c>
    </row>
    <row r="200" spans="1:3" x14ac:dyDescent="0.2">
      <c r="A200" s="5">
        <v>44623.536805555559</v>
      </c>
      <c r="B200" t="s">
        <v>934</v>
      </c>
      <c r="C200" t="s">
        <v>923</v>
      </c>
    </row>
    <row r="201" spans="1:3" x14ac:dyDescent="0.2">
      <c r="A201" s="5">
        <v>44623.536805555559</v>
      </c>
      <c r="B201" t="s">
        <v>934</v>
      </c>
      <c r="C201" t="s">
        <v>924</v>
      </c>
    </row>
    <row r="202" spans="1:3" x14ac:dyDescent="0.2">
      <c r="A202" s="5">
        <v>44623.536805555559</v>
      </c>
      <c r="B202" t="s">
        <v>934</v>
      </c>
      <c r="C202" t="s">
        <v>925</v>
      </c>
    </row>
    <row r="203" spans="1:3" x14ac:dyDescent="0.2">
      <c r="A203" s="5">
        <v>44623.537499999999</v>
      </c>
      <c r="B203" t="s">
        <v>934</v>
      </c>
      <c r="C203" t="s">
        <v>955</v>
      </c>
    </row>
    <row r="204" spans="1:3" x14ac:dyDescent="0.2">
      <c r="A204" s="5">
        <v>44623.537499999999</v>
      </c>
      <c r="B204" t="s">
        <v>934</v>
      </c>
      <c r="C204" t="s">
        <v>956</v>
      </c>
    </row>
    <row r="205" spans="1:3" x14ac:dyDescent="0.2">
      <c r="A205" s="5">
        <v>44623.537499999999</v>
      </c>
      <c r="B205" t="s">
        <v>934</v>
      </c>
      <c r="C205" t="s">
        <v>957</v>
      </c>
    </row>
    <row r="206" spans="1:3" x14ac:dyDescent="0.2">
      <c r="A206" s="5">
        <v>44623.537499999999</v>
      </c>
      <c r="B206" t="s">
        <v>934</v>
      </c>
      <c r="C206" t="s">
        <v>958</v>
      </c>
    </row>
    <row r="207" spans="1:3" x14ac:dyDescent="0.2">
      <c r="A207" s="5">
        <v>44623.537499999999</v>
      </c>
      <c r="B207" t="s">
        <v>934</v>
      </c>
      <c r="C207" t="s">
        <v>959</v>
      </c>
    </row>
    <row r="208" spans="1:3" x14ac:dyDescent="0.2">
      <c r="A208" s="5">
        <v>44623.537499999999</v>
      </c>
      <c r="B208" t="s">
        <v>934</v>
      </c>
      <c r="C208" t="s">
        <v>960</v>
      </c>
    </row>
    <row r="209" spans="1:3" x14ac:dyDescent="0.2">
      <c r="A209" s="5">
        <v>44623.537499999999</v>
      </c>
      <c r="B209" t="s">
        <v>934</v>
      </c>
      <c r="C209" t="s">
        <v>961</v>
      </c>
    </row>
    <row r="210" spans="1:3" x14ac:dyDescent="0.2">
      <c r="A210" s="5">
        <v>44623.537499999999</v>
      </c>
      <c r="B210" t="s">
        <v>934</v>
      </c>
      <c r="C210" t="s">
        <v>962</v>
      </c>
    </row>
    <row r="211" spans="1:3" x14ac:dyDescent="0.2">
      <c r="A211" s="5">
        <v>44623.537499999999</v>
      </c>
      <c r="B211" t="s">
        <v>934</v>
      </c>
      <c r="C211" t="s">
        <v>963</v>
      </c>
    </row>
    <row r="212" spans="1:3" x14ac:dyDescent="0.2">
      <c r="A212" s="5">
        <v>44623.537499999999</v>
      </c>
      <c r="B212" t="s">
        <v>934</v>
      </c>
      <c r="C212" t="s">
        <v>964</v>
      </c>
    </row>
    <row r="213" spans="1:3" x14ac:dyDescent="0.2">
      <c r="A213" s="5">
        <v>44623.538888888892</v>
      </c>
      <c r="B213" t="s">
        <v>965</v>
      </c>
      <c r="C213" t="s">
        <v>966</v>
      </c>
    </row>
    <row r="214" spans="1:3" x14ac:dyDescent="0.2">
      <c r="A214" s="5">
        <v>44623.538888888892</v>
      </c>
      <c r="B214" t="s">
        <v>965</v>
      </c>
      <c r="C214" t="s">
        <v>967</v>
      </c>
    </row>
    <row r="215" spans="1:3" x14ac:dyDescent="0.2">
      <c r="A215" s="5">
        <v>44623.538888888892</v>
      </c>
      <c r="B215" t="s">
        <v>965</v>
      </c>
      <c r="C215" t="s">
        <v>968</v>
      </c>
    </row>
    <row r="216" spans="1:3" x14ac:dyDescent="0.2">
      <c r="A216" s="5">
        <v>44623.538888888892</v>
      </c>
      <c r="B216" t="s">
        <v>965</v>
      </c>
      <c r="C216" t="s">
        <v>969</v>
      </c>
    </row>
    <row r="217" spans="1:3" x14ac:dyDescent="0.2">
      <c r="A217" s="5">
        <v>44623.538888888892</v>
      </c>
      <c r="B217" t="s">
        <v>965</v>
      </c>
      <c r="C217" t="s">
        <v>970</v>
      </c>
    </row>
    <row r="218" spans="1:3" x14ac:dyDescent="0.2">
      <c r="A218" s="5">
        <v>44623.538888888892</v>
      </c>
      <c r="B218" t="s">
        <v>965</v>
      </c>
      <c r="C218" t="s">
        <v>971</v>
      </c>
    </row>
    <row r="219" spans="1:3" x14ac:dyDescent="0.2">
      <c r="A219" s="5">
        <v>44623.538888888892</v>
      </c>
      <c r="B219" t="s">
        <v>965</v>
      </c>
      <c r="C219" t="s">
        <v>972</v>
      </c>
    </row>
    <row r="220" spans="1:3" x14ac:dyDescent="0.2">
      <c r="A220" s="5">
        <v>44623.538888888892</v>
      </c>
      <c r="B220" t="s">
        <v>965</v>
      </c>
      <c r="C220" t="s">
        <v>973</v>
      </c>
    </row>
    <row r="221" spans="1:3" x14ac:dyDescent="0.2">
      <c r="A221" s="5">
        <v>44623.538888888892</v>
      </c>
      <c r="B221" t="s">
        <v>965</v>
      </c>
      <c r="C221" t="s">
        <v>974</v>
      </c>
    </row>
    <row r="222" spans="1:3" x14ac:dyDescent="0.2">
      <c r="A222" s="5">
        <v>44623.538888888892</v>
      </c>
      <c r="B222" t="s">
        <v>965</v>
      </c>
      <c r="C222" t="s">
        <v>975</v>
      </c>
    </row>
    <row r="223" spans="1:3" x14ac:dyDescent="0.2">
      <c r="A223" s="5">
        <v>44623.538888888892</v>
      </c>
      <c r="B223" t="s">
        <v>965</v>
      </c>
      <c r="C223" t="s">
        <v>976</v>
      </c>
    </row>
    <row r="224" spans="1:3" x14ac:dyDescent="0.2">
      <c r="A224" s="5">
        <v>44623.538888888892</v>
      </c>
      <c r="B224" t="s">
        <v>965</v>
      </c>
      <c r="C224" t="s">
        <v>977</v>
      </c>
    </row>
    <row r="225" spans="1:4" x14ac:dyDescent="0.2">
      <c r="A225" s="5">
        <v>44623.538888888892</v>
      </c>
      <c r="B225" t="s">
        <v>965</v>
      </c>
      <c r="C225" t="s">
        <v>978</v>
      </c>
    </row>
    <row r="226" spans="1:4" x14ac:dyDescent="0.2">
      <c r="A226" s="5">
        <v>44623.538888888892</v>
      </c>
      <c r="B226" t="s">
        <v>965</v>
      </c>
      <c r="C226" t="s">
        <v>979</v>
      </c>
    </row>
    <row r="227" spans="1:4" x14ac:dyDescent="0.2">
      <c r="A227" s="5">
        <v>44623.538888888892</v>
      </c>
      <c r="B227" t="s">
        <v>965</v>
      </c>
      <c r="C227" t="s">
        <v>980</v>
      </c>
    </row>
    <row r="228" spans="1:4" x14ac:dyDescent="0.2">
      <c r="A228" s="5">
        <v>44623.538888888892</v>
      </c>
      <c r="B228" t="s">
        <v>965</v>
      </c>
      <c r="C228" t="s">
        <v>981</v>
      </c>
    </row>
    <row r="229" spans="1:4" x14ac:dyDescent="0.2">
      <c r="A229" s="5">
        <v>44623.538888888892</v>
      </c>
      <c r="B229" t="s">
        <v>965</v>
      </c>
      <c r="C229" t="s">
        <v>982</v>
      </c>
    </row>
    <row r="230" spans="1:4" x14ac:dyDescent="0.2">
      <c r="A230" s="5">
        <v>44623.538888888892</v>
      </c>
      <c r="B230" t="s">
        <v>965</v>
      </c>
      <c r="C230" t="s">
        <v>983</v>
      </c>
    </row>
    <row r="231" spans="1:4" x14ac:dyDescent="0.2">
      <c r="A231" s="5">
        <v>44623.538888888892</v>
      </c>
      <c r="B231" t="s">
        <v>965</v>
      </c>
      <c r="C231" t="s">
        <v>984</v>
      </c>
    </row>
    <row r="232" spans="1:4" x14ac:dyDescent="0.2">
      <c r="A232" s="5">
        <v>44623.538888888892</v>
      </c>
      <c r="B232" t="s">
        <v>965</v>
      </c>
      <c r="C232" t="s">
        <v>985</v>
      </c>
      <c r="D232" t="s">
        <v>986</v>
      </c>
    </row>
    <row r="233" spans="1:4" x14ac:dyDescent="0.2">
      <c r="A233" s="5">
        <v>44623.538888888892</v>
      </c>
      <c r="B233" t="s">
        <v>965</v>
      </c>
      <c r="C233" t="s">
        <v>987</v>
      </c>
      <c r="D233" t="s">
        <v>988</v>
      </c>
    </row>
    <row r="234" spans="1:4" x14ac:dyDescent="0.2">
      <c r="A234" s="5">
        <v>44623.538888888892</v>
      </c>
      <c r="B234" t="s">
        <v>965</v>
      </c>
      <c r="C234" t="s">
        <v>989</v>
      </c>
      <c r="D234" t="s">
        <v>990</v>
      </c>
    </row>
    <row r="235" spans="1:4" x14ac:dyDescent="0.2">
      <c r="A235" s="5">
        <v>44623.538888888892</v>
      </c>
      <c r="B235" t="s">
        <v>965</v>
      </c>
      <c r="C235" t="s">
        <v>991</v>
      </c>
    </row>
    <row r="236" spans="1:4" x14ac:dyDescent="0.2">
      <c r="A236" s="5">
        <v>44623.538888888892</v>
      </c>
      <c r="B236" t="s">
        <v>965</v>
      </c>
      <c r="C236" t="s">
        <v>992</v>
      </c>
    </row>
    <row r="237" spans="1:4" x14ac:dyDescent="0.2">
      <c r="A237" s="5">
        <v>44623.538888888892</v>
      </c>
      <c r="B237" t="s">
        <v>965</v>
      </c>
      <c r="C237" t="s">
        <v>993</v>
      </c>
    </row>
    <row r="238" spans="1:4" x14ac:dyDescent="0.2">
      <c r="A238" s="5">
        <v>44623.538888888892</v>
      </c>
      <c r="B238" t="s">
        <v>965</v>
      </c>
      <c r="C238" t="s">
        <v>994</v>
      </c>
      <c r="D238" t="s">
        <v>995</v>
      </c>
    </row>
    <row r="239" spans="1:4" x14ac:dyDescent="0.2">
      <c r="A239" s="5">
        <v>44623.538888888892</v>
      </c>
      <c r="B239" t="s">
        <v>965</v>
      </c>
      <c r="C239" t="s">
        <v>996</v>
      </c>
      <c r="D239" t="s">
        <v>997</v>
      </c>
    </row>
    <row r="240" spans="1:4" x14ac:dyDescent="0.2">
      <c r="A240" s="5">
        <v>44623.538888888892</v>
      </c>
      <c r="B240" t="s">
        <v>965</v>
      </c>
      <c r="C240" t="s">
        <v>998</v>
      </c>
      <c r="D240" t="s">
        <v>999</v>
      </c>
    </row>
    <row r="241" spans="1:6" x14ac:dyDescent="0.2">
      <c r="A241" s="5">
        <v>44623.538888888892</v>
      </c>
      <c r="B241" t="s">
        <v>965</v>
      </c>
      <c r="C241" t="s">
        <v>1000</v>
      </c>
      <c r="D241" t="s">
        <v>1001</v>
      </c>
    </row>
    <row r="242" spans="1:6" x14ac:dyDescent="0.2">
      <c r="A242" s="5">
        <v>44623.538888888892</v>
      </c>
      <c r="B242" t="s">
        <v>965</v>
      </c>
      <c r="C242" t="s">
        <v>1002</v>
      </c>
      <c r="D242" t="s">
        <v>1003</v>
      </c>
    </row>
    <row r="243" spans="1:6" x14ac:dyDescent="0.2">
      <c r="A243" s="5">
        <v>44623.538888888892</v>
      </c>
      <c r="B243" t="s">
        <v>965</v>
      </c>
      <c r="C243" t="s">
        <v>1004</v>
      </c>
      <c r="D243" t="s">
        <v>1005</v>
      </c>
    </row>
    <row r="244" spans="1:6" x14ac:dyDescent="0.2">
      <c r="A244" s="5">
        <v>44623.538888888892</v>
      </c>
      <c r="B244" t="s">
        <v>965</v>
      </c>
      <c r="C244" t="s">
        <v>1006</v>
      </c>
      <c r="D244" t="s">
        <v>1007</v>
      </c>
    </row>
    <row r="245" spans="1:6" x14ac:dyDescent="0.2">
      <c r="A245" s="5">
        <v>44623.538888888892</v>
      </c>
      <c r="B245" t="s">
        <v>965</v>
      </c>
      <c r="C245" t="s">
        <v>1008</v>
      </c>
      <c r="D245" t="s">
        <v>1009</v>
      </c>
    </row>
    <row r="246" spans="1:6" x14ac:dyDescent="0.2">
      <c r="A246" s="5">
        <v>44623.538888888892</v>
      </c>
      <c r="B246" t="s">
        <v>965</v>
      </c>
      <c r="C246" t="s">
        <v>1010</v>
      </c>
      <c r="D246" t="s">
        <v>1011</v>
      </c>
    </row>
    <row r="247" spans="1:6" x14ac:dyDescent="0.2">
      <c r="A247" s="5">
        <v>44623.538888888892</v>
      </c>
      <c r="B247" t="s">
        <v>965</v>
      </c>
      <c r="C247" t="s">
        <v>1012</v>
      </c>
      <c r="D247" t="s">
        <v>1013</v>
      </c>
    </row>
    <row r="248" spans="1:6" x14ac:dyDescent="0.2">
      <c r="A248" s="5">
        <v>44623.538888888892</v>
      </c>
      <c r="B248" t="s">
        <v>965</v>
      </c>
      <c r="C248" t="s">
        <v>1014</v>
      </c>
    </row>
    <row r="249" spans="1:6" x14ac:dyDescent="0.2">
      <c r="A249" s="5">
        <v>44623.538888888892</v>
      </c>
      <c r="B249" t="s">
        <v>965</v>
      </c>
      <c r="C249" t="s">
        <v>1015</v>
      </c>
      <c r="D249" t="s">
        <v>1016</v>
      </c>
      <c r="E249" t="s">
        <v>1017</v>
      </c>
      <c r="F249" t="s">
        <v>1018</v>
      </c>
    </row>
    <row r="250" spans="1:6" x14ac:dyDescent="0.2">
      <c r="A250" s="5">
        <v>44623.538888888892</v>
      </c>
      <c r="B250" t="s">
        <v>965</v>
      </c>
      <c r="C250">
        <v>1.3420000000000001</v>
      </c>
      <c r="D250">
        <v>1.1523000000000001</v>
      </c>
      <c r="E250">
        <v>1.7113</v>
      </c>
      <c r="F250" t="s">
        <v>1019</v>
      </c>
    </row>
    <row r="251" spans="1:6" x14ac:dyDescent="0.2">
      <c r="A251" s="5">
        <v>44623.538888888892</v>
      </c>
      <c r="B251" t="s">
        <v>965</v>
      </c>
      <c r="C251">
        <v>0.21410000000000001</v>
      </c>
      <c r="D251">
        <v>0.63729999999999998</v>
      </c>
      <c r="E251">
        <v>-8.4000000000000005E-2</v>
      </c>
      <c r="F251" t="s">
        <v>1020</v>
      </c>
    </row>
    <row r="252" spans="1:6" x14ac:dyDescent="0.2">
      <c r="A252" s="5">
        <v>44623.538888888892</v>
      </c>
      <c r="B252" t="s">
        <v>965</v>
      </c>
      <c r="C252">
        <v>0.87319999999999998</v>
      </c>
      <c r="D252">
        <v>1.4168000000000001</v>
      </c>
      <c r="E252">
        <v>1.0412999999999999</v>
      </c>
      <c r="F252" t="s">
        <v>1021</v>
      </c>
    </row>
    <row r="253" spans="1:6" x14ac:dyDescent="0.2">
      <c r="A253" s="5">
        <v>44623.538888888892</v>
      </c>
      <c r="B253" t="s">
        <v>965</v>
      </c>
      <c r="C253">
        <v>-0.15920000000000001</v>
      </c>
      <c r="D253">
        <v>-0.30740000000000001</v>
      </c>
      <c r="E253">
        <v>0.57530000000000003</v>
      </c>
      <c r="F253" t="s">
        <v>1022</v>
      </c>
    </row>
    <row r="254" spans="1:6" x14ac:dyDescent="0.2">
      <c r="A254" s="5">
        <v>44623.538888888892</v>
      </c>
      <c r="B254" t="s">
        <v>965</v>
      </c>
      <c r="C254">
        <v>-2.8273999999999999</v>
      </c>
      <c r="D254">
        <v>-7.6776</v>
      </c>
      <c r="E254">
        <v>-1.7914000000000001</v>
      </c>
      <c r="F254" t="s">
        <v>1023</v>
      </c>
    </row>
    <row r="255" spans="1:6" x14ac:dyDescent="0.2">
      <c r="A255" s="5">
        <v>44623.538888888892</v>
      </c>
      <c r="B255" t="s">
        <v>965</v>
      </c>
      <c r="C255">
        <v>0.12540000000000001</v>
      </c>
      <c r="D255">
        <v>-1.8305</v>
      </c>
      <c r="E255">
        <v>-6.0235000000000003</v>
      </c>
      <c r="F255" t="s">
        <v>1024</v>
      </c>
    </row>
    <row r="256" spans="1:6" x14ac:dyDescent="0.2">
      <c r="A256" s="5">
        <v>44623.538888888892</v>
      </c>
      <c r="B256" t="s">
        <v>965</v>
      </c>
      <c r="C256">
        <v>0.89070000000000005</v>
      </c>
      <c r="D256">
        <v>2.5118999999999998</v>
      </c>
      <c r="E256">
        <v>6.3109000000000002</v>
      </c>
      <c r="F256" t="s">
        <v>1025</v>
      </c>
    </row>
    <row r="257" spans="1:6" x14ac:dyDescent="0.2">
      <c r="A257" s="5">
        <v>44623.538888888892</v>
      </c>
      <c r="B257" t="s">
        <v>965</v>
      </c>
      <c r="C257">
        <v>2.3567999999999998</v>
      </c>
      <c r="D257">
        <v>4.6353999999999997</v>
      </c>
      <c r="E257">
        <v>1.3506</v>
      </c>
      <c r="F257" t="s">
        <v>1026</v>
      </c>
    </row>
    <row r="258" spans="1:6" x14ac:dyDescent="0.2">
      <c r="A258" s="5">
        <v>44623.538888888892</v>
      </c>
      <c r="B258" t="s">
        <v>965</v>
      </c>
      <c r="C258">
        <v>-3.8715000000000002</v>
      </c>
      <c r="D258">
        <v>-6.2460000000000004</v>
      </c>
      <c r="E258">
        <v>-3.9264999999999999</v>
      </c>
      <c r="F258" t="s">
        <v>1027</v>
      </c>
    </row>
    <row r="259" spans="1:6" x14ac:dyDescent="0.2">
      <c r="A259" s="5">
        <v>44623.538888888892</v>
      </c>
      <c r="B259" t="s">
        <v>965</v>
      </c>
      <c r="C259">
        <v>2.1453000000000002</v>
      </c>
      <c r="D259">
        <v>4.6092000000000004</v>
      </c>
      <c r="E259">
        <v>-0.24640000000000001</v>
      </c>
      <c r="F259" t="s">
        <v>1028</v>
      </c>
    </row>
    <row r="260" spans="1:6" x14ac:dyDescent="0.2">
      <c r="A260" s="5">
        <v>44623.538888888892</v>
      </c>
      <c r="B260" t="s">
        <v>965</v>
      </c>
      <c r="C260">
        <v>0</v>
      </c>
      <c r="D260">
        <v>0</v>
      </c>
      <c r="E260">
        <v>0</v>
      </c>
      <c r="F260" t="s">
        <v>1029</v>
      </c>
    </row>
    <row r="261" spans="1:6" x14ac:dyDescent="0.2">
      <c r="A261" s="5">
        <v>44623.538888888892</v>
      </c>
      <c r="B261" t="s">
        <v>965</v>
      </c>
      <c r="C261">
        <v>-1.4267000000000001</v>
      </c>
      <c r="D261">
        <v>-1.3613</v>
      </c>
      <c r="E261">
        <v>-0.1197</v>
      </c>
      <c r="F261" t="s">
        <v>1030</v>
      </c>
    </row>
    <row r="262" spans="1:6" x14ac:dyDescent="0.2">
      <c r="A262" s="5">
        <v>44623.538888888892</v>
      </c>
      <c r="B262" t="s">
        <v>965</v>
      </c>
      <c r="C262">
        <v>-0.1153</v>
      </c>
      <c r="D262">
        <v>-0.27500000000000002</v>
      </c>
      <c r="E262">
        <v>-1.0677000000000001</v>
      </c>
      <c r="F262" t="s">
        <v>1031</v>
      </c>
    </row>
    <row r="263" spans="1:6" x14ac:dyDescent="0.2">
      <c r="A263" s="5">
        <v>44623.538888888892</v>
      </c>
      <c r="B263" t="s">
        <v>965</v>
      </c>
      <c r="C263">
        <v>1.4328000000000001</v>
      </c>
      <c r="D263">
        <v>1.4837</v>
      </c>
      <c r="E263">
        <v>1.3540000000000001</v>
      </c>
      <c r="F263" t="s">
        <v>1032</v>
      </c>
    </row>
    <row r="264" spans="1:6" x14ac:dyDescent="0.2">
      <c r="A264" s="5">
        <v>44623.538888888892</v>
      </c>
      <c r="B264" t="s">
        <v>965</v>
      </c>
      <c r="C264">
        <v>1.2079</v>
      </c>
      <c r="D264">
        <v>1.3452</v>
      </c>
      <c r="E264">
        <v>0.42830000000000001</v>
      </c>
      <c r="F264" t="s">
        <v>1033</v>
      </c>
    </row>
    <row r="265" spans="1:6" x14ac:dyDescent="0.2">
      <c r="A265" s="5">
        <v>44623.538888888892</v>
      </c>
      <c r="B265" t="s">
        <v>965</v>
      </c>
      <c r="C265">
        <v>9.64E-2</v>
      </c>
      <c r="D265">
        <v>0.13200000000000001</v>
      </c>
      <c r="E265">
        <v>9.1300000000000006E-2</v>
      </c>
      <c r="F265" t="s">
        <v>1034</v>
      </c>
    </row>
    <row r="266" spans="1:6" x14ac:dyDescent="0.2">
      <c r="A266" s="5">
        <v>44623.538888888892</v>
      </c>
      <c r="B266" t="s">
        <v>965</v>
      </c>
      <c r="C266">
        <v>-1.0303</v>
      </c>
      <c r="D266">
        <v>-2.1063000000000001</v>
      </c>
      <c r="E266">
        <v>-1.7197</v>
      </c>
      <c r="F266" t="s">
        <v>48</v>
      </c>
    </row>
    <row r="267" spans="1:6" x14ac:dyDescent="0.2">
      <c r="A267" s="5">
        <v>44623.538888888892</v>
      </c>
      <c r="B267" t="s">
        <v>965</v>
      </c>
      <c r="C267">
        <v>-0.91279999999999994</v>
      </c>
      <c r="D267">
        <v>-0.4541</v>
      </c>
      <c r="E267">
        <v>-0.78320000000000001</v>
      </c>
      <c r="F267" t="s">
        <v>1035</v>
      </c>
    </row>
    <row r="268" spans="1:6" x14ac:dyDescent="0.2">
      <c r="A268" s="5">
        <v>44623.538888888892</v>
      </c>
      <c r="B268" t="s">
        <v>965</v>
      </c>
      <c r="C268">
        <v>-1.2609999999999999</v>
      </c>
      <c r="D268">
        <v>-1.1319999999999999</v>
      </c>
      <c r="E268">
        <v>-0.58009999999999995</v>
      </c>
      <c r="F268" t="s">
        <v>1036</v>
      </c>
    </row>
    <row r="269" spans="1:6" x14ac:dyDescent="0.2">
      <c r="A269" s="5">
        <v>44623.538888888892</v>
      </c>
      <c r="B269" t="s">
        <v>965</v>
      </c>
      <c r="C269">
        <v>-4.6699999999999998E-2</v>
      </c>
      <c r="D269">
        <v>-0.1135</v>
      </c>
      <c r="E269">
        <v>0.45979999999999999</v>
      </c>
      <c r="F269" t="s">
        <v>1037</v>
      </c>
    </row>
    <row r="270" spans="1:6" x14ac:dyDescent="0.2">
      <c r="A270" s="5">
        <v>44623.538888888892</v>
      </c>
      <c r="B270" t="s">
        <v>965</v>
      </c>
      <c r="C270">
        <v>0.1203</v>
      </c>
      <c r="D270">
        <v>-0.49199999999999999</v>
      </c>
      <c r="E270">
        <v>-1.0287999999999999</v>
      </c>
      <c r="F270" t="s">
        <v>1038</v>
      </c>
    </row>
    <row r="271" spans="1:6" x14ac:dyDescent="0.2">
      <c r="A271" s="5">
        <v>44623.538888888892</v>
      </c>
      <c r="B271" t="s">
        <v>965</v>
      </c>
      <c r="C271">
        <v>0.67800000000000005</v>
      </c>
      <c r="D271">
        <v>8.2299999999999998E-2</v>
      </c>
      <c r="E271">
        <v>0.95440000000000003</v>
      </c>
      <c r="F271" t="s">
        <v>1039</v>
      </c>
    </row>
    <row r="272" spans="1:6" x14ac:dyDescent="0.2">
      <c r="A272" s="5">
        <v>44623.538888888892</v>
      </c>
      <c r="B272" t="s">
        <v>965</v>
      </c>
      <c r="C272">
        <v>-0.1628</v>
      </c>
      <c r="D272">
        <v>-1.3655999999999999</v>
      </c>
      <c r="E272">
        <v>4.7160000000000002</v>
      </c>
      <c r="F272" t="s">
        <v>1040</v>
      </c>
    </row>
    <row r="273" spans="1:6" x14ac:dyDescent="0.2">
      <c r="A273" s="5">
        <v>44623.538888888892</v>
      </c>
      <c r="B273" t="s">
        <v>965</v>
      </c>
      <c r="C273">
        <v>-1.9339999999999999</v>
      </c>
      <c r="D273">
        <v>0.81189999999999996</v>
      </c>
      <c r="E273">
        <v>-4.4781000000000004</v>
      </c>
      <c r="F273" t="s">
        <v>1041</v>
      </c>
    </row>
    <row r="274" spans="1:6" x14ac:dyDescent="0.2">
      <c r="A274" s="5">
        <v>44623.538888888892</v>
      </c>
      <c r="B274" t="s">
        <v>965</v>
      </c>
      <c r="C274">
        <v>0.45900000000000002</v>
      </c>
      <c r="D274">
        <v>0.46529999999999999</v>
      </c>
      <c r="E274">
        <v>0.95569999999999999</v>
      </c>
      <c r="F274" t="s">
        <v>1042</v>
      </c>
    </row>
    <row r="275" spans="1:6" x14ac:dyDescent="0.2">
      <c r="A275" s="5">
        <v>44623.538888888892</v>
      </c>
      <c r="B275" t="s">
        <v>965</v>
      </c>
      <c r="C275">
        <v>1.0588</v>
      </c>
      <c r="D275">
        <v>1.6861999999999999</v>
      </c>
      <c r="E275">
        <v>2.2078000000000002</v>
      </c>
      <c r="F275" t="s">
        <v>1043</v>
      </c>
    </row>
    <row r="276" spans="1:6" x14ac:dyDescent="0.2">
      <c r="A276" s="5">
        <v>44623.538888888892</v>
      </c>
      <c r="B276" t="s">
        <v>965</v>
      </c>
      <c r="C276">
        <v>-1.3068</v>
      </c>
      <c r="D276">
        <v>1.1299999999999999E-2</v>
      </c>
      <c r="E276">
        <v>0.1082</v>
      </c>
      <c r="F276" t="s">
        <v>1044</v>
      </c>
    </row>
    <row r="277" spans="1:6" x14ac:dyDescent="0.2">
      <c r="A277" s="5">
        <v>44623.538888888892</v>
      </c>
      <c r="B277" t="s">
        <v>965</v>
      </c>
      <c r="C277">
        <v>1.2470000000000001</v>
      </c>
      <c r="D277">
        <v>1.0348999999999999</v>
      </c>
      <c r="E277">
        <v>1.4522999999999999</v>
      </c>
      <c r="F277" t="s">
        <v>1045</v>
      </c>
    </row>
    <row r="278" spans="1:6" x14ac:dyDescent="0.2">
      <c r="A278" s="5">
        <v>44623.538888888892</v>
      </c>
      <c r="B278" t="s">
        <v>965</v>
      </c>
      <c r="C278">
        <v>-0.12509999999999999</v>
      </c>
      <c r="D278">
        <v>-1.282</v>
      </c>
      <c r="E278">
        <v>-0.76849999999999996</v>
      </c>
      <c r="F278" t="s">
        <v>1046</v>
      </c>
    </row>
    <row r="279" spans="1:6" x14ac:dyDescent="0.2">
      <c r="A279" s="5">
        <v>44623.538888888892</v>
      </c>
      <c r="B279" t="s">
        <v>965</v>
      </c>
      <c r="C279">
        <v>-0.29380000000000001</v>
      </c>
      <c r="D279">
        <v>0.88790000000000002</v>
      </c>
      <c r="E279">
        <v>1.7208000000000001</v>
      </c>
      <c r="F279" t="s">
        <v>1047</v>
      </c>
    </row>
    <row r="280" spans="1:6" x14ac:dyDescent="0.2">
      <c r="A280" s="5">
        <v>44623.538888888892</v>
      </c>
      <c r="B280" t="s">
        <v>965</v>
      </c>
      <c r="C280">
        <v>0.21829999999999999</v>
      </c>
      <c r="D280">
        <v>-8.3599999999999994E-2</v>
      </c>
      <c r="E280">
        <v>-0.22739999999999999</v>
      </c>
      <c r="F280" t="s">
        <v>1048</v>
      </c>
    </row>
    <row r="281" spans="1:6" x14ac:dyDescent="0.2">
      <c r="A281" s="5">
        <v>44623.538888888892</v>
      </c>
      <c r="B281" t="s">
        <v>965</v>
      </c>
      <c r="C281">
        <v>-2.2389000000000001</v>
      </c>
      <c r="D281">
        <v>-2.484</v>
      </c>
      <c r="E281">
        <v>-1.9999</v>
      </c>
      <c r="F281" t="s">
        <v>1049</v>
      </c>
    </row>
    <row r="282" spans="1:6" x14ac:dyDescent="0.2">
      <c r="A282" s="5">
        <v>44623.538888888892</v>
      </c>
      <c r="B282" t="s">
        <v>965</v>
      </c>
      <c r="C282">
        <v>-10.2525</v>
      </c>
      <c r="D282">
        <v>-14.0421</v>
      </c>
      <c r="E282">
        <v>-15.3154</v>
      </c>
      <c r="F282" t="s">
        <v>1050</v>
      </c>
    </row>
    <row r="283" spans="1:6" x14ac:dyDescent="0.2">
      <c r="A283" s="5">
        <v>44623.538888888892</v>
      </c>
      <c r="B283" t="s">
        <v>965</v>
      </c>
      <c r="C283" t="s">
        <v>1051</v>
      </c>
    </row>
    <row r="284" spans="1:6" x14ac:dyDescent="0.2">
      <c r="A284" s="5">
        <v>44623.538888888892</v>
      </c>
      <c r="B284" t="s">
        <v>965</v>
      </c>
      <c r="C284" t="s">
        <v>1052</v>
      </c>
    </row>
    <row r="285" spans="1:6" x14ac:dyDescent="0.2">
      <c r="A285" s="5">
        <v>44623.538888888892</v>
      </c>
      <c r="B285" t="s">
        <v>965</v>
      </c>
      <c r="C285" t="s">
        <v>1053</v>
      </c>
    </row>
    <row r="286" spans="1:6" x14ac:dyDescent="0.2">
      <c r="A286" s="5">
        <v>44623.538888888892</v>
      </c>
      <c r="B286" t="s">
        <v>965</v>
      </c>
      <c r="C286" t="s">
        <v>1054</v>
      </c>
    </row>
    <row r="287" spans="1:6" x14ac:dyDescent="0.2">
      <c r="A287" s="5">
        <v>44623.538888888892</v>
      </c>
      <c r="B287" t="s">
        <v>965</v>
      </c>
      <c r="C287" t="s">
        <v>1055</v>
      </c>
    </row>
    <row r="288" spans="1:6" x14ac:dyDescent="0.2">
      <c r="A288" s="5">
        <v>44623.538888888892</v>
      </c>
      <c r="B288" t="s">
        <v>965</v>
      </c>
      <c r="C288" t="s">
        <v>1056</v>
      </c>
    </row>
    <row r="289" spans="1:8" x14ac:dyDescent="0.2">
      <c r="A289" s="5">
        <v>44623.538888888892</v>
      </c>
      <c r="B289" t="s">
        <v>965</v>
      </c>
      <c r="C289" t="s">
        <v>1057</v>
      </c>
      <c r="D289" t="s">
        <v>1058</v>
      </c>
      <c r="E289" t="s">
        <v>1059</v>
      </c>
      <c r="F289" t="s">
        <v>1060</v>
      </c>
      <c r="G289" t="s">
        <v>1061</v>
      </c>
      <c r="H289" t="s">
        <v>1062</v>
      </c>
    </row>
    <row r="290" spans="1:8" x14ac:dyDescent="0.2">
      <c r="A290" s="5">
        <v>44623.538888888892</v>
      </c>
      <c r="B290" t="s">
        <v>965</v>
      </c>
      <c r="C290" t="s">
        <v>1063</v>
      </c>
    </row>
    <row r="291" spans="1:8" x14ac:dyDescent="0.2">
      <c r="A291" s="5">
        <v>44623.538888888892</v>
      </c>
      <c r="B291" t="s">
        <v>965</v>
      </c>
      <c r="C291" t="s">
        <v>1064</v>
      </c>
    </row>
    <row r="292" spans="1:8" x14ac:dyDescent="0.2">
      <c r="A292" s="5">
        <v>44623.538888888892</v>
      </c>
      <c r="B292" t="s">
        <v>965</v>
      </c>
      <c r="C292" t="s">
        <v>1065</v>
      </c>
    </row>
    <row r="293" spans="1:8" x14ac:dyDescent="0.2">
      <c r="A293" s="5">
        <v>44623.538888888892</v>
      </c>
      <c r="B293" t="s">
        <v>965</v>
      </c>
      <c r="C293" t="s">
        <v>1066</v>
      </c>
    </row>
    <row r="294" spans="1:8" x14ac:dyDescent="0.2">
      <c r="A294" s="5">
        <v>44623.538888888892</v>
      </c>
      <c r="B294" t="s">
        <v>1067</v>
      </c>
      <c r="C294" t="s">
        <v>1068</v>
      </c>
    </row>
    <row r="295" spans="1:8" x14ac:dyDescent="0.2">
      <c r="A295" s="5">
        <v>44623.538888888892</v>
      </c>
      <c r="B295" t="s">
        <v>1067</v>
      </c>
      <c r="C295" t="s">
        <v>1069</v>
      </c>
    </row>
    <row r="296" spans="1:8" x14ac:dyDescent="0.2">
      <c r="A296" s="5">
        <v>44623.538888888892</v>
      </c>
      <c r="B296" t="s">
        <v>1067</v>
      </c>
      <c r="C296" t="s">
        <v>1070</v>
      </c>
    </row>
    <row r="297" spans="1:8" x14ac:dyDescent="0.2">
      <c r="A297" s="5">
        <v>44623.538888888892</v>
      </c>
      <c r="B297" t="s">
        <v>1067</v>
      </c>
      <c r="C297" t="s">
        <v>1071</v>
      </c>
    </row>
    <row r="298" spans="1:8" x14ac:dyDescent="0.2">
      <c r="A298" s="5">
        <v>44623.538888888892</v>
      </c>
      <c r="B298" t="s">
        <v>1067</v>
      </c>
      <c r="C298" t="s">
        <v>1072</v>
      </c>
    </row>
    <row r="299" spans="1:8" x14ac:dyDescent="0.2">
      <c r="A299" s="5">
        <v>44623.538888888892</v>
      </c>
      <c r="B299" t="s">
        <v>1067</v>
      </c>
      <c r="C299" t="s">
        <v>1073</v>
      </c>
    </row>
    <row r="300" spans="1:8" x14ac:dyDescent="0.2">
      <c r="A300" s="5">
        <v>44623.538888888892</v>
      </c>
      <c r="B300" t="s">
        <v>1067</v>
      </c>
      <c r="C300" t="s">
        <v>1074</v>
      </c>
    </row>
    <row r="301" spans="1:8" x14ac:dyDescent="0.2">
      <c r="A301" s="5">
        <v>44623.538888888892</v>
      </c>
      <c r="B301" t="s">
        <v>1067</v>
      </c>
      <c r="C301" t="s">
        <v>1075</v>
      </c>
    </row>
    <row r="302" spans="1:8" x14ac:dyDescent="0.2">
      <c r="A302" s="5">
        <v>44623.538888888892</v>
      </c>
      <c r="B302" t="s">
        <v>1067</v>
      </c>
      <c r="C302" t="s">
        <v>1076</v>
      </c>
    </row>
    <row r="303" spans="1:8" x14ac:dyDescent="0.2">
      <c r="A303" s="5">
        <v>44623.538888888892</v>
      </c>
      <c r="B303" t="s">
        <v>1067</v>
      </c>
      <c r="C303" t="s">
        <v>1077</v>
      </c>
    </row>
    <row r="304" spans="1:8" x14ac:dyDescent="0.2">
      <c r="A304" s="5">
        <v>44623.538888888892</v>
      </c>
      <c r="B304" t="s">
        <v>1067</v>
      </c>
      <c r="C304" t="s">
        <v>1078</v>
      </c>
    </row>
    <row r="305" spans="1:3" x14ac:dyDescent="0.2">
      <c r="A305" s="5">
        <v>44623.538888888892</v>
      </c>
      <c r="B305" t="s">
        <v>1067</v>
      </c>
      <c r="C305" t="s">
        <v>1079</v>
      </c>
    </row>
    <row r="306" spans="1:3" x14ac:dyDescent="0.2">
      <c r="A306" s="5">
        <v>44623.538888888892</v>
      </c>
      <c r="B306" t="s">
        <v>1067</v>
      </c>
      <c r="C306" t="s">
        <v>1080</v>
      </c>
    </row>
    <row r="307" spans="1:3" x14ac:dyDescent="0.2">
      <c r="A307" s="5">
        <v>44623.539583333331</v>
      </c>
      <c r="B307" t="s">
        <v>1067</v>
      </c>
      <c r="C307" t="s">
        <v>1081</v>
      </c>
    </row>
    <row r="308" spans="1:3" x14ac:dyDescent="0.2">
      <c r="A308" s="5">
        <v>44623.539583333331</v>
      </c>
      <c r="B308" t="s">
        <v>1067</v>
      </c>
      <c r="C308" t="s">
        <v>1082</v>
      </c>
    </row>
    <row r="309" spans="1:3" x14ac:dyDescent="0.2">
      <c r="A309" s="5">
        <v>44623.540972222225</v>
      </c>
      <c r="B309" t="s">
        <v>1067</v>
      </c>
      <c r="C309" t="s">
        <v>1083</v>
      </c>
    </row>
    <row r="310" spans="1:3" x14ac:dyDescent="0.2">
      <c r="A310" s="5">
        <v>44623.540972222225</v>
      </c>
      <c r="B310" t="s">
        <v>1067</v>
      </c>
      <c r="C310" t="s">
        <v>1084</v>
      </c>
    </row>
    <row r="311" spans="1:3" x14ac:dyDescent="0.2">
      <c r="A311" s="5">
        <v>44623.540972222225</v>
      </c>
      <c r="B311" t="s">
        <v>914</v>
      </c>
      <c r="C311" t="s">
        <v>1085</v>
      </c>
    </row>
    <row r="312" spans="1:3" x14ac:dyDescent="0.2">
      <c r="A312" s="5">
        <v>44623.540972222225</v>
      </c>
      <c r="B312" t="s">
        <v>914</v>
      </c>
      <c r="C312" t="s">
        <v>1086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85"/>
  <sheetViews>
    <sheetView workbookViewId="0">
      <selection sqref="A1:XFD1"/>
    </sheetView>
  </sheetViews>
  <sheetFormatPr baseColWidth="10" defaultColWidth="8.83203125" defaultRowHeight="15" x14ac:dyDescent="0.2"/>
  <sheetData>
    <row r="1" spans="1:1" x14ac:dyDescent="0.2">
      <c r="A1" t="s">
        <v>816</v>
      </c>
    </row>
    <row r="2" spans="1:1" x14ac:dyDescent="0.2">
      <c r="A2" t="s">
        <v>1087</v>
      </c>
    </row>
    <row r="3" spans="1:1" x14ac:dyDescent="0.2">
      <c r="A3" t="s">
        <v>816</v>
      </c>
    </row>
    <row r="4" spans="1:1" x14ac:dyDescent="0.2">
      <c r="A4" t="s">
        <v>818</v>
      </c>
    </row>
    <row r="5" spans="1:1" x14ac:dyDescent="0.2">
      <c r="A5" t="s">
        <v>1088</v>
      </c>
    </row>
    <row r="6" spans="1:1" x14ac:dyDescent="0.2">
      <c r="A6" t="s">
        <v>1089</v>
      </c>
    </row>
    <row r="7" spans="1:1" x14ac:dyDescent="0.2">
      <c r="A7" t="s">
        <v>1090</v>
      </c>
    </row>
    <row r="8" spans="1:1" x14ac:dyDescent="0.2">
      <c r="A8" t="s">
        <v>1091</v>
      </c>
    </row>
    <row r="9" spans="1:1" x14ac:dyDescent="0.2">
      <c r="A9" t="s">
        <v>823</v>
      </c>
    </row>
    <row r="12" spans="1:1" x14ac:dyDescent="0.2">
      <c r="A12" t="s">
        <v>824</v>
      </c>
    </row>
    <row r="13" spans="1:1" x14ac:dyDescent="0.2">
      <c r="A13" t="s">
        <v>825</v>
      </c>
    </row>
    <row r="14" spans="1:1" x14ac:dyDescent="0.2">
      <c r="A14" t="s">
        <v>824</v>
      </c>
    </row>
    <row r="16" spans="1:1" x14ac:dyDescent="0.2">
      <c r="A16" t="s">
        <v>1092</v>
      </c>
    </row>
    <row r="17" spans="1:1" x14ac:dyDescent="0.2">
      <c r="A17" t="s">
        <v>1093</v>
      </c>
    </row>
    <row r="18" spans="1:1" x14ac:dyDescent="0.2">
      <c r="A18" t="s">
        <v>1094</v>
      </c>
    </row>
    <row r="19" spans="1:1" x14ac:dyDescent="0.2">
      <c r="A19" t="s">
        <v>1095</v>
      </c>
    </row>
    <row r="20" spans="1:1" x14ac:dyDescent="0.2">
      <c r="A20" t="s">
        <v>1096</v>
      </c>
    </row>
    <row r="21" spans="1:1" x14ac:dyDescent="0.2">
      <c r="A21" t="s">
        <v>1097</v>
      </c>
    </row>
    <row r="22" spans="1:1" x14ac:dyDescent="0.2">
      <c r="A22" t="s">
        <v>1098</v>
      </c>
    </row>
    <row r="23" spans="1:1" x14ac:dyDescent="0.2">
      <c r="A23" t="s">
        <v>1099</v>
      </c>
    </row>
    <row r="24" spans="1:1" x14ac:dyDescent="0.2">
      <c r="A24" t="s">
        <v>1100</v>
      </c>
    </row>
    <row r="25" spans="1:1" x14ac:dyDescent="0.2">
      <c r="A25" t="s">
        <v>1101</v>
      </c>
    </row>
    <row r="26" spans="1:1" x14ac:dyDescent="0.2">
      <c r="A26" t="s">
        <v>1102</v>
      </c>
    </row>
    <row r="28" spans="1:1" x14ac:dyDescent="0.2">
      <c r="A28" t="s">
        <v>1103</v>
      </c>
    </row>
    <row r="29" spans="1:1" x14ac:dyDescent="0.2">
      <c r="A29" t="s">
        <v>1104</v>
      </c>
    </row>
    <row r="31" spans="1:1" x14ac:dyDescent="0.2">
      <c r="A31" t="s">
        <v>1105</v>
      </c>
    </row>
    <row r="32" spans="1:1" x14ac:dyDescent="0.2">
      <c r="A32" t="s">
        <v>1106</v>
      </c>
    </row>
    <row r="33" spans="1:1" x14ac:dyDescent="0.2">
      <c r="A33" t="s">
        <v>1107</v>
      </c>
    </row>
    <row r="35" spans="1:1" x14ac:dyDescent="0.2">
      <c r="A35" t="s">
        <v>824</v>
      </c>
    </row>
    <row r="36" spans="1:1" x14ac:dyDescent="0.2">
      <c r="A36" t="s">
        <v>1108</v>
      </c>
    </row>
    <row r="37" spans="1:1" x14ac:dyDescent="0.2">
      <c r="A37" t="s">
        <v>824</v>
      </c>
    </row>
    <row r="38" spans="1:1" x14ac:dyDescent="0.2">
      <c r="A38" t="s">
        <v>1109</v>
      </c>
    </row>
    <row r="39" spans="1:1" x14ac:dyDescent="0.2">
      <c r="A39" t="e">
        <f>- Spectra to Store:  Identified or Quantified</f>
        <v>#NAME?</v>
      </c>
    </row>
    <row r="40" spans="1:1" x14ac:dyDescent="0.2">
      <c r="A40" t="e">
        <f>- Feature Traces to Store:  All</f>
        <v>#NAME?</v>
      </c>
    </row>
    <row r="42" spans="1:1" x14ac:dyDescent="0.2">
      <c r="A42" t="s">
        <v>1110</v>
      </c>
    </row>
    <row r="43" spans="1:1" x14ac:dyDescent="0.2">
      <c r="A43" t="e">
        <f>- Merge Mode:  Globally by Search Engine Type</f>
        <v>#NAME?</v>
      </c>
    </row>
    <row r="45" spans="1:1" x14ac:dyDescent="0.2">
      <c r="A45" t="s">
        <v>1111</v>
      </c>
    </row>
    <row r="46" spans="1:1" x14ac:dyDescent="0.2">
      <c r="A46" t="e">
        <f>- Reported FASTA Title Lines:  Best match</f>
        <v>#NAME?</v>
      </c>
    </row>
    <row r="47" spans="1:1" x14ac:dyDescent="0.2">
      <c r="A47" t="e">
        <f>- Title Line Rule:  standard</f>
        <v>#NAME?</v>
      </c>
    </row>
    <row r="49" spans="1:1" x14ac:dyDescent="0.2">
      <c r="A49" t="s">
        <v>1112</v>
      </c>
    </row>
    <row r="50" spans="1:1" x14ac:dyDescent="0.2">
      <c r="A50" t="s">
        <v>897</v>
      </c>
    </row>
    <row r="51" spans="1:1" x14ac:dyDescent="0.2">
      <c r="A51" t="s">
        <v>898</v>
      </c>
    </row>
    <row r="52" spans="1:1" x14ac:dyDescent="0.2">
      <c r="A52" t="s">
        <v>1113</v>
      </c>
    </row>
    <row r="54" spans="1:1" x14ac:dyDescent="0.2">
      <c r="A54" t="s">
        <v>1114</v>
      </c>
    </row>
    <row r="55" spans="1:1" x14ac:dyDescent="0.2">
      <c r="A55" t="e">
        <f ca="1">- MSF File(s):  D:\dmallet\030222\DM021122_030222_PD2_5\DM021122_030322_DM_1.msf</f>
        <v>#NAME?</v>
      </c>
    </row>
    <row r="57" spans="1:1" x14ac:dyDescent="0.2">
      <c r="A57" t="s">
        <v>824</v>
      </c>
    </row>
    <row r="58" spans="1:1" x14ac:dyDescent="0.2">
      <c r="A58" t="s">
        <v>1115</v>
      </c>
    </row>
    <row r="59" spans="1:1" x14ac:dyDescent="0.2">
      <c r="A59" t="s">
        <v>824</v>
      </c>
    </row>
    <row r="60" spans="1:1" x14ac:dyDescent="0.2">
      <c r="A60" t="s">
        <v>1116</v>
      </c>
    </row>
    <row r="61" spans="1:1" x14ac:dyDescent="0.2">
      <c r="A61" t="s">
        <v>1117</v>
      </c>
    </row>
    <row r="63" spans="1:1" x14ac:dyDescent="0.2">
      <c r="A63" t="s">
        <v>824</v>
      </c>
    </row>
    <row r="64" spans="1:1" x14ac:dyDescent="0.2">
      <c r="A64" t="s">
        <v>1118</v>
      </c>
    </row>
    <row r="65" spans="1:1" x14ac:dyDescent="0.2">
      <c r="A65" t="s">
        <v>824</v>
      </c>
    </row>
    <row r="66" spans="1:1" x14ac:dyDescent="0.2">
      <c r="A66" t="s">
        <v>1119</v>
      </c>
    </row>
    <row r="67" spans="1:1" x14ac:dyDescent="0.2">
      <c r="A67" t="e">
        <f>- Validation Mode:  Automatic (Control Peptide level error rate if possible)</f>
        <v>#NAME?</v>
      </c>
    </row>
    <row r="68" spans="1:1" x14ac:dyDescent="0.2">
      <c r="A68" t="s">
        <v>1120</v>
      </c>
    </row>
    <row r="69" spans="1:1" x14ac:dyDescent="0.2">
      <c r="A69" t="s">
        <v>1121</v>
      </c>
    </row>
    <row r="70" spans="1:1" x14ac:dyDescent="0.2">
      <c r="A70" t="s">
        <v>1122</v>
      </c>
    </row>
    <row r="71" spans="1:1" x14ac:dyDescent="0.2">
      <c r="A71" t="s">
        <v>1123</v>
      </c>
    </row>
    <row r="73" spans="1:1" x14ac:dyDescent="0.2">
      <c r="A73" t="s">
        <v>1124</v>
      </c>
    </row>
    <row r="74" spans="1:1" x14ac:dyDescent="0.2">
      <c r="A74" t="e">
        <f>- Validation based on:  q-Value</f>
        <v>#NAME?</v>
      </c>
    </row>
    <row r="75" spans="1:1" x14ac:dyDescent="0.2">
      <c r="A75" t="e">
        <f>- Target/Decoy Selection for PSM level FDR Calculation based on Score:  Automatic</f>
        <v>#NAME?</v>
      </c>
    </row>
    <row r="76" spans="1:1" x14ac:dyDescent="0.2">
      <c r="A76" t="s">
        <v>1125</v>
      </c>
    </row>
    <row r="78" spans="1:1" x14ac:dyDescent="0.2">
      <c r="A78" t="s">
        <v>824</v>
      </c>
    </row>
    <row r="79" spans="1:1" x14ac:dyDescent="0.2">
      <c r="A79" t="s">
        <v>1126</v>
      </c>
    </row>
    <row r="80" spans="1:1" x14ac:dyDescent="0.2">
      <c r="A80" t="s">
        <v>824</v>
      </c>
    </row>
    <row r="81" spans="1:1" x14ac:dyDescent="0.2">
      <c r="A81" t="s">
        <v>1127</v>
      </c>
    </row>
    <row r="82" spans="1:1" x14ac:dyDescent="0.2">
      <c r="A82" t="e">
        <f>- Peptide Confidence At Least:  High</f>
        <v>#NAME?</v>
      </c>
    </row>
    <row r="83" spans="1:1" x14ac:dyDescent="0.2">
      <c r="A83" t="s">
        <v>1128</v>
      </c>
    </row>
    <row r="84" spans="1:1" x14ac:dyDescent="0.2">
      <c r="A84" t="s">
        <v>1129</v>
      </c>
    </row>
    <row r="85" spans="1:1" x14ac:dyDescent="0.2">
      <c r="A85" t="s">
        <v>1130</v>
      </c>
    </row>
    <row r="87" spans="1:1" x14ac:dyDescent="0.2">
      <c r="A87" t="s">
        <v>1131</v>
      </c>
    </row>
    <row r="88" spans="1:1" x14ac:dyDescent="0.2">
      <c r="A88" t="s">
        <v>1132</v>
      </c>
    </row>
    <row r="89" spans="1:1" x14ac:dyDescent="0.2">
      <c r="A89" t="s">
        <v>1133</v>
      </c>
    </row>
    <row r="90" spans="1:1" x14ac:dyDescent="0.2">
      <c r="A90" t="s">
        <v>1134</v>
      </c>
    </row>
    <row r="92" spans="1:1" x14ac:dyDescent="0.2">
      <c r="A92" t="s">
        <v>824</v>
      </c>
    </row>
    <row r="93" spans="1:1" x14ac:dyDescent="0.2">
      <c r="A93" t="s">
        <v>1135</v>
      </c>
    </row>
    <row r="94" spans="1:1" x14ac:dyDescent="0.2">
      <c r="A94" t="s">
        <v>824</v>
      </c>
    </row>
    <row r="95" spans="1:1" x14ac:dyDescent="0.2">
      <c r="A95" t="s">
        <v>1136</v>
      </c>
    </row>
    <row r="97" spans="1:1" x14ac:dyDescent="0.2">
      <c r="A97" t="s">
        <v>824</v>
      </c>
    </row>
    <row r="98" spans="1:1" x14ac:dyDescent="0.2">
      <c r="A98" t="s">
        <v>1137</v>
      </c>
    </row>
    <row r="99" spans="1:1" x14ac:dyDescent="0.2">
      <c r="A99" t="s">
        <v>824</v>
      </c>
    </row>
    <row r="100" spans="1:1" x14ac:dyDescent="0.2">
      <c r="A100" t="s">
        <v>1138</v>
      </c>
    </row>
    <row r="101" spans="1:1" x14ac:dyDescent="0.2">
      <c r="A101" t="s">
        <v>900</v>
      </c>
    </row>
    <row r="102" spans="1:1" x14ac:dyDescent="0.2">
      <c r="A102" t="s">
        <v>901</v>
      </c>
    </row>
    <row r="104" spans="1:1" x14ac:dyDescent="0.2">
      <c r="A104" t="s">
        <v>824</v>
      </c>
    </row>
    <row r="105" spans="1:1" x14ac:dyDescent="0.2">
      <c r="A105" t="s">
        <v>1139</v>
      </c>
    </row>
    <row r="106" spans="1:1" x14ac:dyDescent="0.2">
      <c r="A106" t="s">
        <v>824</v>
      </c>
    </row>
    <row r="107" spans="1:1" x14ac:dyDescent="0.2">
      <c r="A107" t="s">
        <v>1140</v>
      </c>
    </row>
    <row r="108" spans="1:1" x14ac:dyDescent="0.2">
      <c r="A108" t="s">
        <v>1141</v>
      </c>
    </row>
    <row r="110" spans="1:1" x14ac:dyDescent="0.2">
      <c r="A110" t="s">
        <v>824</v>
      </c>
    </row>
    <row r="111" spans="1:1" x14ac:dyDescent="0.2">
      <c r="A111" t="s">
        <v>1142</v>
      </c>
    </row>
    <row r="112" spans="1:1" x14ac:dyDescent="0.2">
      <c r="A112" t="s">
        <v>824</v>
      </c>
    </row>
    <row r="113" spans="1:1" x14ac:dyDescent="0.2">
      <c r="A113" t="s">
        <v>1143</v>
      </c>
    </row>
    <row r="114" spans="1:1" x14ac:dyDescent="0.2">
      <c r="A114" t="s">
        <v>905</v>
      </c>
    </row>
    <row r="115" spans="1:1" x14ac:dyDescent="0.2">
      <c r="A115" t="s">
        <v>1144</v>
      </c>
    </row>
    <row r="116" spans="1:1" x14ac:dyDescent="0.2">
      <c r="A116" t="s">
        <v>1145</v>
      </c>
    </row>
    <row r="118" spans="1:1" x14ac:dyDescent="0.2">
      <c r="A118" t="s">
        <v>824</v>
      </c>
    </row>
    <row r="119" spans="1:1" x14ac:dyDescent="0.2">
      <c r="A119" t="s">
        <v>1146</v>
      </c>
    </row>
    <row r="120" spans="1:1" x14ac:dyDescent="0.2">
      <c r="A120" t="s">
        <v>824</v>
      </c>
    </row>
    <row r="121" spans="1:1" x14ac:dyDescent="0.2">
      <c r="A121" t="s">
        <v>1147</v>
      </c>
    </row>
    <row r="122" spans="1:1" x14ac:dyDescent="0.2">
      <c r="A122" t="s">
        <v>1148</v>
      </c>
    </row>
    <row r="123" spans="1:1" x14ac:dyDescent="0.2">
      <c r="A123" t="s">
        <v>1149</v>
      </c>
    </row>
    <row r="125" spans="1:1" x14ac:dyDescent="0.2">
      <c r="A125" t="s">
        <v>1150</v>
      </c>
    </row>
    <row r="126" spans="1:1" x14ac:dyDescent="0.2">
      <c r="A126" t="e">
        <f>- Protein Modifications Reported:  only for Master Proteins</f>
        <v>#NAME?</v>
      </c>
    </row>
    <row r="128" spans="1:1" x14ac:dyDescent="0.2">
      <c r="A128" t="s">
        <v>1151</v>
      </c>
    </row>
    <row r="129" spans="1:1" x14ac:dyDescent="0.2">
      <c r="A129" t="e">
        <f>- Modification Sites Reported:  All and Specific</f>
        <v>#NAME?</v>
      </c>
    </row>
    <row r="130" spans="1:1" x14ac:dyDescent="0.2">
      <c r="A130" t="e">
        <f>- Minimum PSM Confidence:  High</f>
        <v>#NAME?</v>
      </c>
    </row>
    <row r="131" spans="1:1" x14ac:dyDescent="0.2">
      <c r="A131" t="s">
        <v>905</v>
      </c>
    </row>
    <row r="133" spans="1:1" x14ac:dyDescent="0.2">
      <c r="A133" t="s">
        <v>1152</v>
      </c>
    </row>
    <row r="134" spans="1:1" x14ac:dyDescent="0.2">
      <c r="A134" t="e">
        <f>- Protein Positions for Peptides:  only for Master Proteins</f>
        <v>#NAME?</v>
      </c>
    </row>
    <row r="136" spans="1:1" x14ac:dyDescent="0.2">
      <c r="A136" t="s">
        <v>824</v>
      </c>
    </row>
    <row r="137" spans="1:1" x14ac:dyDescent="0.2">
      <c r="A137" t="s">
        <v>1153</v>
      </c>
    </row>
    <row r="138" spans="1:1" x14ac:dyDescent="0.2">
      <c r="A138" t="s">
        <v>824</v>
      </c>
    </row>
    <row r="139" spans="1:1" x14ac:dyDescent="0.2">
      <c r="A139" t="s">
        <v>1136</v>
      </c>
    </row>
    <row r="141" spans="1:1" x14ac:dyDescent="0.2">
      <c r="A141" t="s">
        <v>824</v>
      </c>
    </row>
    <row r="142" spans="1:1" x14ac:dyDescent="0.2">
      <c r="A142" t="s">
        <v>1154</v>
      </c>
    </row>
    <row r="143" spans="1:1" x14ac:dyDescent="0.2">
      <c r="A143" t="s">
        <v>824</v>
      </c>
    </row>
    <row r="144" spans="1:1" x14ac:dyDescent="0.2">
      <c r="A144" t="s">
        <v>1155</v>
      </c>
    </row>
    <row r="145" spans="1:2" x14ac:dyDescent="0.2">
      <c r="A145" t="s">
        <v>1156</v>
      </c>
    </row>
    <row r="146" spans="1:2" x14ac:dyDescent="0.2">
      <c r="A146" t="s">
        <v>1157</v>
      </c>
    </row>
    <row r="147" spans="1:2" x14ac:dyDescent="0.2">
      <c r="A147" t="s">
        <v>1158</v>
      </c>
    </row>
    <row r="148" spans="1:2" x14ac:dyDescent="0.2">
      <c r="A148" t="s">
        <v>1159</v>
      </c>
    </row>
    <row r="149" spans="1:2" x14ac:dyDescent="0.2">
      <c r="A149" t="s">
        <v>1160</v>
      </c>
    </row>
    <row r="150" spans="1:2" x14ac:dyDescent="0.2">
      <c r="A150" t="s">
        <v>1161</v>
      </c>
    </row>
    <row r="152" spans="1:2" x14ac:dyDescent="0.2">
      <c r="A152" t="s">
        <v>1162</v>
      </c>
    </row>
    <row r="153" spans="1:2" x14ac:dyDescent="0.2">
      <c r="A153" t="e">
        <f>- Protein _xlnm.Database:  SGDyeast_20080728.fasta</f>
        <v>#NAME?</v>
      </c>
    </row>
    <row r="155" spans="1:2" x14ac:dyDescent="0.2">
      <c r="A155" t="s">
        <v>824</v>
      </c>
    </row>
    <row r="156" spans="1:2" x14ac:dyDescent="0.2">
      <c r="A156" t="s">
        <v>1163</v>
      </c>
    </row>
    <row r="157" spans="1:2" x14ac:dyDescent="0.2">
      <c r="A157" t="s">
        <v>824</v>
      </c>
    </row>
    <row r="158" spans="1:2" x14ac:dyDescent="0.2">
      <c r="A158" t="s">
        <v>1143</v>
      </c>
    </row>
    <row r="159" spans="1:2" x14ac:dyDescent="0.2">
      <c r="A159" t="s">
        <v>1164</v>
      </c>
    </row>
    <row r="160" spans="1:2" x14ac:dyDescent="0.2">
      <c r="B160" t="s">
        <v>1165</v>
      </c>
    </row>
    <row r="161" spans="1:2" x14ac:dyDescent="0.2">
      <c r="B161" t="s">
        <v>1166</v>
      </c>
    </row>
    <row r="162" spans="1:2" x14ac:dyDescent="0.2">
      <c r="B162" t="s">
        <v>1167</v>
      </c>
    </row>
    <row r="163" spans="1:2" x14ac:dyDescent="0.2">
      <c r="B163" t="s">
        <v>1168</v>
      </c>
    </row>
    <row r="165" spans="1:2" x14ac:dyDescent="0.2">
      <c r="B165" t="s">
        <v>1169</v>
      </c>
    </row>
    <row r="167" spans="1:2" x14ac:dyDescent="0.2">
      <c r="A167" t="s">
        <v>824</v>
      </c>
    </row>
    <row r="168" spans="1:2" x14ac:dyDescent="0.2">
      <c r="A168" t="s">
        <v>1170</v>
      </c>
    </row>
    <row r="169" spans="1:2" x14ac:dyDescent="0.2">
      <c r="A169" t="s">
        <v>824</v>
      </c>
    </row>
    <row r="170" spans="1:2" x14ac:dyDescent="0.2">
      <c r="A170" t="s">
        <v>1136</v>
      </c>
    </row>
    <row r="172" spans="1:2" x14ac:dyDescent="0.2">
      <c r="A172" t="s">
        <v>824</v>
      </c>
    </row>
    <row r="173" spans="1:2" x14ac:dyDescent="0.2">
      <c r="A173" t="s">
        <v>1171</v>
      </c>
    </row>
    <row r="174" spans="1:2" x14ac:dyDescent="0.2">
      <c r="A174" t="s">
        <v>824</v>
      </c>
    </row>
    <row r="175" spans="1:2" x14ac:dyDescent="0.2">
      <c r="A175" t="s">
        <v>1172</v>
      </c>
    </row>
    <row r="176" spans="1:2" x14ac:dyDescent="0.2">
      <c r="A176" t="e">
        <f>- Peptides to Use:  only unique Peptides based on Protein groups</f>
        <v>#NAME?</v>
      </c>
    </row>
    <row r="179" spans="1:3" x14ac:dyDescent="0.2">
      <c r="A179" t="s">
        <v>824</v>
      </c>
    </row>
    <row r="180" spans="1:3" x14ac:dyDescent="0.2">
      <c r="A180" t="s">
        <v>913</v>
      </c>
    </row>
    <row r="181" spans="1:3" x14ac:dyDescent="0.2">
      <c r="A181" t="s">
        <v>824</v>
      </c>
    </row>
    <row r="182" spans="1:3" x14ac:dyDescent="0.2">
      <c r="A182" s="5">
        <v>44623.540972222225</v>
      </c>
      <c r="B182" t="s">
        <v>914</v>
      </c>
      <c r="C182" t="s">
        <v>1173</v>
      </c>
    </row>
    <row r="183" spans="1:3" x14ac:dyDescent="0.2">
      <c r="A183" s="5">
        <v>44623.540972222225</v>
      </c>
      <c r="B183" t="s">
        <v>1174</v>
      </c>
      <c r="C183" t="s">
        <v>1175</v>
      </c>
    </row>
    <row r="184" spans="1:3" x14ac:dyDescent="0.2">
      <c r="A184" s="5">
        <v>44623.540972222225</v>
      </c>
      <c r="B184" t="s">
        <v>1174</v>
      </c>
      <c r="C184" t="s">
        <v>1176</v>
      </c>
    </row>
    <row r="185" spans="1:3" x14ac:dyDescent="0.2">
      <c r="A185" s="5">
        <v>44623.540972222225</v>
      </c>
      <c r="B185" t="s">
        <v>1174</v>
      </c>
      <c r="C185" t="s">
        <v>1177</v>
      </c>
    </row>
    <row r="186" spans="1:3" x14ac:dyDescent="0.2">
      <c r="A186" s="5">
        <v>44623.540972222225</v>
      </c>
      <c r="B186" t="s">
        <v>1174</v>
      </c>
      <c r="C186" t="s">
        <v>1178</v>
      </c>
    </row>
    <row r="187" spans="1:3" x14ac:dyDescent="0.2">
      <c r="A187" s="5">
        <v>44623.540972222225</v>
      </c>
      <c r="B187" t="s">
        <v>1174</v>
      </c>
      <c r="C187" t="s">
        <v>1179</v>
      </c>
    </row>
    <row r="188" spans="1:3" x14ac:dyDescent="0.2">
      <c r="A188" s="5">
        <v>44623.540972222225</v>
      </c>
      <c r="B188" t="s">
        <v>1174</v>
      </c>
      <c r="C188" t="s">
        <v>1180</v>
      </c>
    </row>
    <row r="189" spans="1:3" x14ac:dyDescent="0.2">
      <c r="A189" s="5">
        <v>44623.540972222225</v>
      </c>
      <c r="B189" t="s">
        <v>1174</v>
      </c>
      <c r="C189" t="s">
        <v>1181</v>
      </c>
    </row>
    <row r="190" spans="1:3" x14ac:dyDescent="0.2">
      <c r="A190" s="5">
        <v>44623.540972222225</v>
      </c>
      <c r="B190" t="s">
        <v>1174</v>
      </c>
      <c r="C190" t="s">
        <v>1182</v>
      </c>
    </row>
    <row r="191" spans="1:3" x14ac:dyDescent="0.2">
      <c r="A191" s="5">
        <v>44623.540972222225</v>
      </c>
      <c r="B191" t="s">
        <v>1174</v>
      </c>
      <c r="C191" t="s">
        <v>1183</v>
      </c>
    </row>
    <row r="192" spans="1:3" x14ac:dyDescent="0.2">
      <c r="A192" s="5">
        <v>44623.540972222225</v>
      </c>
      <c r="B192" t="s">
        <v>1174</v>
      </c>
      <c r="C192" t="s">
        <v>1184</v>
      </c>
    </row>
    <row r="193" spans="1:3" x14ac:dyDescent="0.2">
      <c r="A193" s="5">
        <v>44623.540972222225</v>
      </c>
      <c r="B193" t="s">
        <v>1174</v>
      </c>
      <c r="C193" t="s">
        <v>1185</v>
      </c>
    </row>
    <row r="194" spans="1:3" x14ac:dyDescent="0.2">
      <c r="A194" s="5">
        <v>44623.540972222225</v>
      </c>
      <c r="B194" t="s">
        <v>1174</v>
      </c>
      <c r="C194" t="s">
        <v>1186</v>
      </c>
    </row>
    <row r="195" spans="1:3" x14ac:dyDescent="0.2">
      <c r="A195" s="5">
        <v>44623.540972222225</v>
      </c>
      <c r="B195" t="s">
        <v>1174</v>
      </c>
      <c r="C195" t="s">
        <v>1187</v>
      </c>
    </row>
    <row r="196" spans="1:3" x14ac:dyDescent="0.2">
      <c r="A196" s="5">
        <v>44623.540972222225</v>
      </c>
      <c r="B196" t="s">
        <v>1174</v>
      </c>
      <c r="C196" t="s">
        <v>1188</v>
      </c>
    </row>
    <row r="197" spans="1:3" x14ac:dyDescent="0.2">
      <c r="A197" s="5">
        <v>44623.540972222225</v>
      </c>
      <c r="B197" t="s">
        <v>1174</v>
      </c>
      <c r="C197" t="s">
        <v>1189</v>
      </c>
    </row>
    <row r="198" spans="1:3" x14ac:dyDescent="0.2">
      <c r="A198" s="5">
        <v>44623.540972222225</v>
      </c>
      <c r="B198" t="s">
        <v>1174</v>
      </c>
      <c r="C198" t="s">
        <v>1190</v>
      </c>
    </row>
    <row r="199" spans="1:3" x14ac:dyDescent="0.2">
      <c r="A199" s="5">
        <v>44623.541666666664</v>
      </c>
      <c r="B199" t="s">
        <v>1174</v>
      </c>
      <c r="C199" t="s">
        <v>1191</v>
      </c>
    </row>
    <row r="200" spans="1:3" x14ac:dyDescent="0.2">
      <c r="A200" s="5">
        <v>44623.541666666664</v>
      </c>
      <c r="B200" t="s">
        <v>1174</v>
      </c>
      <c r="C200" t="s">
        <v>1192</v>
      </c>
    </row>
    <row r="201" spans="1:3" x14ac:dyDescent="0.2">
      <c r="A201" s="5">
        <v>44623.541666666664</v>
      </c>
      <c r="B201" t="s">
        <v>1174</v>
      </c>
      <c r="C201" t="s">
        <v>1193</v>
      </c>
    </row>
    <row r="202" spans="1:3" x14ac:dyDescent="0.2">
      <c r="A202" s="5">
        <v>44623.541666666664</v>
      </c>
      <c r="B202" t="s">
        <v>1194</v>
      </c>
      <c r="C202" t="s">
        <v>1195</v>
      </c>
    </row>
    <row r="203" spans="1:3" x14ac:dyDescent="0.2">
      <c r="A203" s="5">
        <v>44623.541666666664</v>
      </c>
      <c r="B203" t="s">
        <v>1194</v>
      </c>
      <c r="C203" t="s">
        <v>1196</v>
      </c>
    </row>
    <row r="204" spans="1:3" x14ac:dyDescent="0.2">
      <c r="A204" s="5">
        <v>44623.541666666664</v>
      </c>
      <c r="B204" t="s">
        <v>1194</v>
      </c>
      <c r="C204" t="s">
        <v>1197</v>
      </c>
    </row>
    <row r="205" spans="1:3" x14ac:dyDescent="0.2">
      <c r="A205" s="5">
        <v>44623.541666666664</v>
      </c>
      <c r="B205" t="s">
        <v>1194</v>
      </c>
      <c r="C205" t="s">
        <v>1198</v>
      </c>
    </row>
    <row r="206" spans="1:3" x14ac:dyDescent="0.2">
      <c r="A206" s="5">
        <v>44623.541666666664</v>
      </c>
      <c r="B206" t="s">
        <v>1194</v>
      </c>
      <c r="C206" t="s">
        <v>1199</v>
      </c>
    </row>
    <row r="207" spans="1:3" x14ac:dyDescent="0.2">
      <c r="A207" s="5">
        <v>44623.541666666664</v>
      </c>
      <c r="B207" t="s">
        <v>1200</v>
      </c>
      <c r="C207" t="s">
        <v>1201</v>
      </c>
    </row>
    <row r="208" spans="1:3" x14ac:dyDescent="0.2">
      <c r="A208" s="5">
        <v>44623.541666666664</v>
      </c>
      <c r="B208" t="s">
        <v>1200</v>
      </c>
      <c r="C208" t="s">
        <v>1202</v>
      </c>
    </row>
    <row r="209" spans="1:3" x14ac:dyDescent="0.2">
      <c r="A209" s="5">
        <v>44623.541666666664</v>
      </c>
      <c r="B209" t="s">
        <v>1200</v>
      </c>
      <c r="C209" t="s">
        <v>1203</v>
      </c>
    </row>
    <row r="210" spans="1:3" x14ac:dyDescent="0.2">
      <c r="A210" s="5">
        <v>44623.541666666664</v>
      </c>
      <c r="B210" t="s">
        <v>1200</v>
      </c>
      <c r="C210" t="s">
        <v>1204</v>
      </c>
    </row>
    <row r="211" spans="1:3" x14ac:dyDescent="0.2">
      <c r="A211" s="5">
        <v>44623.541666666664</v>
      </c>
      <c r="B211" t="s">
        <v>1200</v>
      </c>
      <c r="C211" t="s">
        <v>1205</v>
      </c>
    </row>
    <row r="212" spans="1:3" x14ac:dyDescent="0.2">
      <c r="A212" s="5">
        <v>44623.541666666664</v>
      </c>
      <c r="B212" t="s">
        <v>1200</v>
      </c>
      <c r="C212" t="s">
        <v>1206</v>
      </c>
    </row>
    <row r="213" spans="1:3" x14ac:dyDescent="0.2">
      <c r="A213" s="5">
        <v>44623.541666666664</v>
      </c>
      <c r="B213" t="s">
        <v>1207</v>
      </c>
      <c r="C213" t="s">
        <v>1208</v>
      </c>
    </row>
    <row r="214" spans="1:3" x14ac:dyDescent="0.2">
      <c r="A214" s="5">
        <v>44623.541666666664</v>
      </c>
      <c r="B214" t="s">
        <v>1207</v>
      </c>
      <c r="C214" t="s">
        <v>1209</v>
      </c>
    </row>
    <row r="215" spans="1:3" x14ac:dyDescent="0.2">
      <c r="A215" s="5">
        <v>44623.541666666664</v>
      </c>
      <c r="B215" t="s">
        <v>1207</v>
      </c>
      <c r="C215" t="s">
        <v>1210</v>
      </c>
    </row>
    <row r="216" spans="1:3" x14ac:dyDescent="0.2">
      <c r="A216" s="5">
        <v>44623.541666666664</v>
      </c>
      <c r="B216" t="s">
        <v>1207</v>
      </c>
      <c r="C216" t="s">
        <v>1211</v>
      </c>
    </row>
    <row r="217" spans="1:3" x14ac:dyDescent="0.2">
      <c r="A217" s="5">
        <v>44623.541666666664</v>
      </c>
      <c r="B217" t="s">
        <v>1207</v>
      </c>
      <c r="C217" t="s">
        <v>1212</v>
      </c>
    </row>
    <row r="218" spans="1:3" x14ac:dyDescent="0.2">
      <c r="A218" s="5">
        <v>44623.541666666664</v>
      </c>
      <c r="B218" t="s">
        <v>1207</v>
      </c>
      <c r="C218" t="s">
        <v>1213</v>
      </c>
    </row>
    <row r="219" spans="1:3" x14ac:dyDescent="0.2">
      <c r="A219" s="5">
        <v>44623.541666666664</v>
      </c>
      <c r="B219" t="s">
        <v>1207</v>
      </c>
      <c r="C219" t="s">
        <v>1214</v>
      </c>
    </row>
    <row r="220" spans="1:3" x14ac:dyDescent="0.2">
      <c r="A220" s="5">
        <v>44623.541666666664</v>
      </c>
      <c r="B220" t="s">
        <v>1207</v>
      </c>
      <c r="C220" t="s">
        <v>1215</v>
      </c>
    </row>
    <row r="221" spans="1:3" x14ac:dyDescent="0.2">
      <c r="A221" s="5">
        <v>44623.541666666664</v>
      </c>
      <c r="B221" t="s">
        <v>1207</v>
      </c>
      <c r="C221" t="s">
        <v>1216</v>
      </c>
    </row>
    <row r="222" spans="1:3" x14ac:dyDescent="0.2">
      <c r="A222" s="5">
        <v>44623.541666666664</v>
      </c>
      <c r="B222" t="s">
        <v>1207</v>
      </c>
      <c r="C222" t="s">
        <v>1217</v>
      </c>
    </row>
    <row r="223" spans="1:3" x14ac:dyDescent="0.2">
      <c r="A223" s="5">
        <v>44623.541666666664</v>
      </c>
      <c r="B223" t="s">
        <v>1218</v>
      </c>
      <c r="C223" t="s">
        <v>1219</v>
      </c>
    </row>
    <row r="224" spans="1:3" x14ac:dyDescent="0.2">
      <c r="A224" s="5">
        <v>44623.541666666664</v>
      </c>
      <c r="B224" t="s">
        <v>1218</v>
      </c>
      <c r="C224" t="s">
        <v>1220</v>
      </c>
    </row>
    <row r="225" spans="1:3" x14ac:dyDescent="0.2">
      <c r="A225" s="5">
        <v>44623.541666666664</v>
      </c>
      <c r="B225" t="s">
        <v>1218</v>
      </c>
      <c r="C225" t="s">
        <v>1221</v>
      </c>
    </row>
    <row r="226" spans="1:3" x14ac:dyDescent="0.2">
      <c r="A226" s="5">
        <v>44623.541666666664</v>
      </c>
      <c r="B226" t="s">
        <v>1218</v>
      </c>
      <c r="C226" t="s">
        <v>1222</v>
      </c>
    </row>
    <row r="227" spans="1:3" x14ac:dyDescent="0.2">
      <c r="A227" s="5">
        <v>44623.541666666664</v>
      </c>
      <c r="B227" t="s">
        <v>1218</v>
      </c>
      <c r="C227" t="s">
        <v>1223</v>
      </c>
    </row>
    <row r="228" spans="1:3" x14ac:dyDescent="0.2">
      <c r="A228" s="5">
        <v>44623.541666666664</v>
      </c>
      <c r="B228" t="s">
        <v>1218</v>
      </c>
      <c r="C228" t="s">
        <v>1224</v>
      </c>
    </row>
    <row r="229" spans="1:3" x14ac:dyDescent="0.2">
      <c r="A229" s="5">
        <v>44623.541666666664</v>
      </c>
      <c r="B229" t="s">
        <v>1218</v>
      </c>
      <c r="C229" t="s">
        <v>1225</v>
      </c>
    </row>
    <row r="230" spans="1:3" x14ac:dyDescent="0.2">
      <c r="A230" s="5">
        <v>44623.541666666664</v>
      </c>
      <c r="B230" t="s">
        <v>1226</v>
      </c>
      <c r="C230" t="s">
        <v>1227</v>
      </c>
    </row>
    <row r="231" spans="1:3" x14ac:dyDescent="0.2">
      <c r="A231" s="5">
        <v>44623.541666666664</v>
      </c>
      <c r="B231" t="s">
        <v>1226</v>
      </c>
      <c r="C231" t="s">
        <v>1228</v>
      </c>
    </row>
    <row r="232" spans="1:3" x14ac:dyDescent="0.2">
      <c r="A232" s="5">
        <v>44623.541666666664</v>
      </c>
      <c r="B232" t="s">
        <v>1226</v>
      </c>
      <c r="C232" t="s">
        <v>1229</v>
      </c>
    </row>
    <row r="233" spans="1:3" x14ac:dyDescent="0.2">
      <c r="A233" s="5">
        <v>44623.541666666664</v>
      </c>
      <c r="B233" t="s">
        <v>1230</v>
      </c>
      <c r="C233" t="s">
        <v>1231</v>
      </c>
    </row>
    <row r="234" spans="1:3" x14ac:dyDescent="0.2">
      <c r="A234" s="5">
        <v>44623.541666666664</v>
      </c>
      <c r="B234" t="s">
        <v>1230</v>
      </c>
      <c r="C234" t="s">
        <v>1232</v>
      </c>
    </row>
    <row r="235" spans="1:3" x14ac:dyDescent="0.2">
      <c r="A235" s="5">
        <v>44623.541666666664</v>
      </c>
      <c r="B235" t="s">
        <v>1230</v>
      </c>
      <c r="C235" t="s">
        <v>1233</v>
      </c>
    </row>
    <row r="236" spans="1:3" x14ac:dyDescent="0.2">
      <c r="A236" s="5">
        <v>44623.541666666664</v>
      </c>
      <c r="B236" t="s">
        <v>1230</v>
      </c>
      <c r="C236" t="s">
        <v>1234</v>
      </c>
    </row>
    <row r="237" spans="1:3" x14ac:dyDescent="0.2">
      <c r="A237" s="5">
        <v>44623.541666666664</v>
      </c>
      <c r="B237" t="s">
        <v>1230</v>
      </c>
      <c r="C237" t="s">
        <v>1235</v>
      </c>
    </row>
    <row r="238" spans="1:3" x14ac:dyDescent="0.2">
      <c r="A238" s="5">
        <v>44623.541666666664</v>
      </c>
      <c r="B238" t="s">
        <v>1230</v>
      </c>
      <c r="C238" t="s">
        <v>1236</v>
      </c>
    </row>
    <row r="239" spans="1:3" x14ac:dyDescent="0.2">
      <c r="A239" s="5">
        <v>44623.541666666664</v>
      </c>
      <c r="B239" t="s">
        <v>1230</v>
      </c>
      <c r="C239" t="s">
        <v>1237</v>
      </c>
    </row>
    <row r="240" spans="1:3" x14ac:dyDescent="0.2">
      <c r="A240" s="5">
        <v>44623.541666666664</v>
      </c>
      <c r="B240" t="s">
        <v>1230</v>
      </c>
      <c r="C240" t="s">
        <v>1238</v>
      </c>
    </row>
    <row r="241" spans="1:3" x14ac:dyDescent="0.2">
      <c r="A241" s="5">
        <v>44623.541666666664</v>
      </c>
      <c r="B241" t="s">
        <v>1239</v>
      </c>
      <c r="C241" t="s">
        <v>1240</v>
      </c>
    </row>
    <row r="242" spans="1:3" x14ac:dyDescent="0.2">
      <c r="A242" s="5">
        <v>44623.541666666664</v>
      </c>
      <c r="B242" t="s">
        <v>1239</v>
      </c>
      <c r="C242" t="s">
        <v>1195</v>
      </c>
    </row>
    <row r="243" spans="1:3" x14ac:dyDescent="0.2">
      <c r="A243" s="5">
        <v>44623.541666666664</v>
      </c>
      <c r="B243" t="s">
        <v>1239</v>
      </c>
      <c r="C243" t="s">
        <v>1241</v>
      </c>
    </row>
    <row r="244" spans="1:3" x14ac:dyDescent="0.2">
      <c r="A244" s="5">
        <v>44623.541666666664</v>
      </c>
      <c r="B244" t="s">
        <v>1239</v>
      </c>
      <c r="C244" t="s">
        <v>1197</v>
      </c>
    </row>
    <row r="245" spans="1:3" x14ac:dyDescent="0.2">
      <c r="A245" s="5">
        <v>44623.542361111111</v>
      </c>
      <c r="B245" t="s">
        <v>1239</v>
      </c>
      <c r="C245" t="s">
        <v>1242</v>
      </c>
    </row>
    <row r="246" spans="1:3" x14ac:dyDescent="0.2">
      <c r="A246" s="5">
        <v>44623.542361111111</v>
      </c>
      <c r="B246" t="s">
        <v>1239</v>
      </c>
      <c r="C246" t="s">
        <v>1243</v>
      </c>
    </row>
    <row r="247" spans="1:3" x14ac:dyDescent="0.2">
      <c r="A247" s="5">
        <v>44623.542361111111</v>
      </c>
      <c r="B247" t="s">
        <v>1244</v>
      </c>
      <c r="C247" t="s">
        <v>1245</v>
      </c>
    </row>
    <row r="248" spans="1:3" x14ac:dyDescent="0.2">
      <c r="A248" s="5">
        <v>44623.542361111111</v>
      </c>
      <c r="B248" t="s">
        <v>1244</v>
      </c>
      <c r="C248" t="s">
        <v>1246</v>
      </c>
    </row>
    <row r="249" spans="1:3" x14ac:dyDescent="0.2">
      <c r="A249" s="5">
        <v>44623.542361111111</v>
      </c>
      <c r="B249" t="s">
        <v>1244</v>
      </c>
      <c r="C249" t="s">
        <v>1247</v>
      </c>
    </row>
    <row r="250" spans="1:3" x14ac:dyDescent="0.2">
      <c r="A250" s="5">
        <v>44623.542361111111</v>
      </c>
      <c r="B250" t="s">
        <v>1244</v>
      </c>
      <c r="C250" t="s">
        <v>1248</v>
      </c>
    </row>
    <row r="251" spans="1:3" x14ac:dyDescent="0.2">
      <c r="A251" s="5">
        <v>44623.542361111111</v>
      </c>
      <c r="B251" t="s">
        <v>1244</v>
      </c>
      <c r="C251" t="s">
        <v>1249</v>
      </c>
    </row>
    <row r="252" spans="1:3" x14ac:dyDescent="0.2">
      <c r="A252" s="5">
        <v>44623.542361111111</v>
      </c>
      <c r="B252" t="s">
        <v>1244</v>
      </c>
      <c r="C252" t="s">
        <v>1250</v>
      </c>
    </row>
    <row r="253" spans="1:3" x14ac:dyDescent="0.2">
      <c r="A253" s="5">
        <v>44623.542361111111</v>
      </c>
      <c r="B253" t="s">
        <v>1244</v>
      </c>
      <c r="C253" t="s">
        <v>1251</v>
      </c>
    </row>
    <row r="254" spans="1:3" x14ac:dyDescent="0.2">
      <c r="A254" s="5">
        <v>44623.542361111111</v>
      </c>
      <c r="B254" t="s">
        <v>1244</v>
      </c>
      <c r="C254" t="s">
        <v>1252</v>
      </c>
    </row>
    <row r="255" spans="1:3" x14ac:dyDescent="0.2">
      <c r="A255" s="5">
        <v>44623.542361111111</v>
      </c>
      <c r="B255" t="s">
        <v>1253</v>
      </c>
      <c r="C255" t="s">
        <v>1254</v>
      </c>
    </row>
    <row r="256" spans="1:3" x14ac:dyDescent="0.2">
      <c r="A256" s="5">
        <v>44623.542361111111</v>
      </c>
      <c r="B256" t="s">
        <v>1253</v>
      </c>
      <c r="C256" t="s">
        <v>1247</v>
      </c>
    </row>
    <row r="257" spans="1:3" x14ac:dyDescent="0.2">
      <c r="A257" s="5">
        <v>44623.542361111111</v>
      </c>
      <c r="B257" t="s">
        <v>1253</v>
      </c>
      <c r="C257" t="s">
        <v>1255</v>
      </c>
    </row>
    <row r="258" spans="1:3" x14ac:dyDescent="0.2">
      <c r="A258" s="5">
        <v>44623.542361111111</v>
      </c>
      <c r="B258" t="s">
        <v>1253</v>
      </c>
      <c r="C258" t="s">
        <v>1256</v>
      </c>
    </row>
    <row r="259" spans="1:3" x14ac:dyDescent="0.2">
      <c r="A259" s="5">
        <v>44623.542361111111</v>
      </c>
      <c r="B259" t="s">
        <v>1253</v>
      </c>
      <c r="C259" t="s">
        <v>1254</v>
      </c>
    </row>
    <row r="260" spans="1:3" x14ac:dyDescent="0.2">
      <c r="A260" s="5">
        <v>44623.542361111111</v>
      </c>
      <c r="B260" t="s">
        <v>1253</v>
      </c>
      <c r="C260" t="s">
        <v>1247</v>
      </c>
    </row>
    <row r="261" spans="1:3" x14ac:dyDescent="0.2">
      <c r="A261" s="5">
        <v>44623.542361111111</v>
      </c>
      <c r="B261" t="s">
        <v>1253</v>
      </c>
      <c r="C261" t="s">
        <v>1255</v>
      </c>
    </row>
    <row r="262" spans="1:3" x14ac:dyDescent="0.2">
      <c r="A262" s="5">
        <v>44623.542361111111</v>
      </c>
      <c r="B262" t="s">
        <v>1253</v>
      </c>
      <c r="C262" t="s">
        <v>1257</v>
      </c>
    </row>
    <row r="263" spans="1:3" x14ac:dyDescent="0.2">
      <c r="A263" s="5">
        <v>44623.542361111111</v>
      </c>
      <c r="B263" t="s">
        <v>1253</v>
      </c>
      <c r="C263" t="s">
        <v>1258</v>
      </c>
    </row>
    <row r="264" spans="1:3" x14ac:dyDescent="0.2">
      <c r="A264" s="5">
        <v>44623.542361111111</v>
      </c>
      <c r="B264" t="s">
        <v>1253</v>
      </c>
      <c r="C264" t="s">
        <v>1259</v>
      </c>
    </row>
    <row r="265" spans="1:3" x14ac:dyDescent="0.2">
      <c r="A265" s="5">
        <v>44623.542361111111</v>
      </c>
      <c r="B265" t="s">
        <v>1260</v>
      </c>
      <c r="C265" t="s">
        <v>1261</v>
      </c>
    </row>
    <row r="266" spans="1:3" x14ac:dyDescent="0.2">
      <c r="A266" s="5">
        <v>44623.542361111111</v>
      </c>
      <c r="B266" t="s">
        <v>1260</v>
      </c>
      <c r="C266" t="s">
        <v>1262</v>
      </c>
    </row>
    <row r="267" spans="1:3" x14ac:dyDescent="0.2">
      <c r="A267" s="5">
        <v>44623.542361111111</v>
      </c>
      <c r="B267" t="s">
        <v>1260</v>
      </c>
      <c r="C267" t="s">
        <v>1263</v>
      </c>
    </row>
    <row r="268" spans="1:3" x14ac:dyDescent="0.2">
      <c r="A268" s="5">
        <v>44623.542361111111</v>
      </c>
      <c r="B268" t="s">
        <v>1260</v>
      </c>
      <c r="C268" t="s">
        <v>1264</v>
      </c>
    </row>
    <row r="269" spans="1:3" x14ac:dyDescent="0.2">
      <c r="A269" s="5">
        <v>44623.542361111111</v>
      </c>
      <c r="B269" t="s">
        <v>1260</v>
      </c>
      <c r="C269" t="s">
        <v>1265</v>
      </c>
    </row>
    <row r="270" spans="1:3" x14ac:dyDescent="0.2">
      <c r="A270" s="5">
        <v>44623.542361111111</v>
      </c>
      <c r="B270" t="s">
        <v>1260</v>
      </c>
      <c r="C270" t="s">
        <v>1266</v>
      </c>
    </row>
    <row r="271" spans="1:3" x14ac:dyDescent="0.2">
      <c r="A271" s="5">
        <v>44623.542361111111</v>
      </c>
      <c r="B271" t="s">
        <v>1260</v>
      </c>
      <c r="C271" t="s">
        <v>1267</v>
      </c>
    </row>
    <row r="272" spans="1:3" x14ac:dyDescent="0.2">
      <c r="A272" s="5">
        <v>44623.542361111111</v>
      </c>
      <c r="B272" t="s">
        <v>1260</v>
      </c>
      <c r="C272" t="s">
        <v>1268</v>
      </c>
    </row>
    <row r="273" spans="1:3" x14ac:dyDescent="0.2">
      <c r="A273" s="5">
        <v>44623.542361111111</v>
      </c>
      <c r="B273" t="s">
        <v>1260</v>
      </c>
      <c r="C273" t="s">
        <v>1269</v>
      </c>
    </row>
    <row r="274" spans="1:3" x14ac:dyDescent="0.2">
      <c r="A274" s="5">
        <v>44623.542361111111</v>
      </c>
      <c r="B274" t="s">
        <v>1260</v>
      </c>
      <c r="C274" t="s">
        <v>1270</v>
      </c>
    </row>
    <row r="275" spans="1:3" x14ac:dyDescent="0.2">
      <c r="A275" s="5">
        <v>44623.542361111111</v>
      </c>
      <c r="B275" t="s">
        <v>1260</v>
      </c>
      <c r="C275" t="s">
        <v>1271</v>
      </c>
    </row>
    <row r="276" spans="1:3" x14ac:dyDescent="0.2">
      <c r="A276" s="5">
        <v>44623.542361111111</v>
      </c>
      <c r="B276" t="s">
        <v>1260</v>
      </c>
      <c r="C276" t="s">
        <v>1272</v>
      </c>
    </row>
    <row r="277" spans="1:3" x14ac:dyDescent="0.2">
      <c r="A277" s="5">
        <v>44623.542361111111</v>
      </c>
      <c r="B277" t="s">
        <v>1273</v>
      </c>
      <c r="C277" t="s">
        <v>1274</v>
      </c>
    </row>
    <row r="278" spans="1:3" x14ac:dyDescent="0.2">
      <c r="A278" s="5">
        <v>44623.542361111111</v>
      </c>
      <c r="B278" t="s">
        <v>1275</v>
      </c>
      <c r="C278" t="s">
        <v>1276</v>
      </c>
    </row>
    <row r="279" spans="1:3" x14ac:dyDescent="0.2">
      <c r="A279" s="5">
        <v>44623.542361111111</v>
      </c>
      <c r="B279" t="s">
        <v>1275</v>
      </c>
      <c r="C279" t="s">
        <v>1277</v>
      </c>
    </row>
    <row r="280" spans="1:3" x14ac:dyDescent="0.2">
      <c r="A280" s="5">
        <v>44623.542361111111</v>
      </c>
      <c r="B280" t="s">
        <v>1278</v>
      </c>
      <c r="C280" t="s">
        <v>1279</v>
      </c>
    </row>
    <row r="281" spans="1:3" x14ac:dyDescent="0.2">
      <c r="A281" s="5">
        <v>44623.542361111111</v>
      </c>
      <c r="B281" t="s">
        <v>1278</v>
      </c>
      <c r="C281" t="s">
        <v>1280</v>
      </c>
    </row>
    <row r="282" spans="1:3" x14ac:dyDescent="0.2">
      <c r="A282" s="5">
        <v>44623.542361111111</v>
      </c>
      <c r="B282" t="s">
        <v>1278</v>
      </c>
      <c r="C282" t="s">
        <v>1281</v>
      </c>
    </row>
    <row r="283" spans="1:3" x14ac:dyDescent="0.2">
      <c r="A283" s="5">
        <v>44623.542361111111</v>
      </c>
      <c r="B283" t="s">
        <v>914</v>
      </c>
      <c r="C283" t="s">
        <v>1282</v>
      </c>
    </row>
    <row r="284" spans="1:3" x14ac:dyDescent="0.2">
      <c r="A284" s="5">
        <v>44623.542361111111</v>
      </c>
      <c r="B284" t="s">
        <v>914</v>
      </c>
      <c r="C284" t="s">
        <v>1283</v>
      </c>
    </row>
    <row r="285" spans="1:3" x14ac:dyDescent="0.2">
      <c r="A285" s="5">
        <v>44623.542361111111</v>
      </c>
      <c r="B285" t="s">
        <v>914</v>
      </c>
      <c r="C285" t="s">
        <v>1284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Proteins &amp; Peptides</vt:lpstr>
      <vt:lpstr>visual data</vt:lpstr>
      <vt:lpstr>Phospho Peptides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Mallett</dc:creator>
  <dc:description>Exported from file DM021122_030322_DM_1.pdResult using Thermo Proteome Discoverer 2.5.0.402</dc:description>
  <cp:lastModifiedBy>Microsoft Office User</cp:lastModifiedBy>
  <dcterms:created xsi:type="dcterms:W3CDTF">2022-03-04T01:20:16Z</dcterms:created>
  <dcterms:modified xsi:type="dcterms:W3CDTF">2022-04-12T05:25:10Z</dcterms:modified>
</cp:coreProperties>
</file>