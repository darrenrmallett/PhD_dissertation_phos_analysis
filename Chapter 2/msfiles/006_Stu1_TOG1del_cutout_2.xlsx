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dmallett/Dropbox/Graduate School/Biggins Lab - Main/Mass Spec data/Experiment 1.119 - send TOG1-delete band that disappears for MS/"/>
    </mc:Choice>
  </mc:AlternateContent>
  <xr:revisionPtr revIDLastSave="0" documentId="13_ncr:1_{0E30694E-B732-C040-B0F3-8AD4FF0B9599}" xr6:coauthVersionLast="47" xr6:coauthVersionMax="47" xr10:uidLastSave="{00000000-0000-0000-0000-000000000000}"/>
  <bookViews>
    <workbookView xWindow="0" yWindow="500" windowWidth="28800" windowHeight="12300" xr2:uid="{00000000-000D-0000-FFFF-FFFF00000000}"/>
  </bookViews>
  <sheets>
    <sheet name=" Proteins &amp; Peptides" sheetId="1" r:id="rId1"/>
    <sheet name="Proteins" sheetId="3" r:id="rId2"/>
    <sheet name="Processing" sheetId="5" r:id="rId3"/>
    <sheet name="Consensu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4" l="1"/>
  <c r="A41" i="4"/>
  <c r="A44" i="4"/>
  <c r="A47" i="4"/>
  <c r="A48" i="4"/>
  <c r="A68" i="4"/>
  <c r="A75" i="4"/>
  <c r="A76" i="4"/>
  <c r="A83" i="4"/>
  <c r="A127" i="4"/>
  <c r="A130" i="4"/>
  <c r="A131" i="4"/>
  <c r="A135" i="4"/>
  <c r="A154" i="4"/>
  <c r="A177" i="4"/>
  <c r="A29" i="5"/>
  <c r="A36" i="5"/>
  <c r="A37" i="5"/>
  <c r="A43" i="5"/>
  <c r="A45" i="5"/>
  <c r="A60" i="5"/>
  <c r="A63" i="5"/>
  <c r="A69" i="5"/>
  <c r="A70" i="5"/>
  <c r="A71" i="5"/>
  <c r="A72" i="5"/>
  <c r="A86" i="5"/>
  <c r="A128" i="5"/>
  <c r="A129" i="5"/>
  <c r="A148" i="5"/>
  <c r="A56" i="4"/>
  <c r="A27" i="5"/>
</calcChain>
</file>

<file path=xl/sharedStrings.xml><?xml version="1.0" encoding="utf-8"?>
<sst xmlns="http://schemas.openxmlformats.org/spreadsheetml/2006/main" count="7829" uniqueCount="1562">
  <si>
    <t>Protein FDR Confidence: Combined</t>
  </si>
  <si>
    <t>Master</t>
  </si>
  <si>
    <t>Accession</t>
  </si>
  <si>
    <t>Description</t>
  </si>
  <si>
    <t>Exp. q-value: Combined</t>
  </si>
  <si>
    <t>Sum PEP Score</t>
  </si>
  <si>
    <t>Coverage [%]</t>
  </si>
  <si>
    <t># Peptides</t>
  </si>
  <si>
    <t># Isoforms</t>
  </si>
  <si>
    <t># PSMs</t>
  </si>
  <si>
    <t># Unique Peptides</t>
  </si>
  <si>
    <t># AAs</t>
  </si>
  <si>
    <t>MW [kDa]</t>
  </si>
  <si>
    <t>calc. pI</t>
  </si>
  <si>
    <t>Score Sequest HT: Sequest HT</t>
  </si>
  <si>
    <t># Peptides (by Search Engine): Sequest HT</t>
  </si>
  <si>
    <t>Biological Process</t>
  </si>
  <si>
    <t>Cellular Component</t>
  </si>
  <si>
    <t>Molecular Function</t>
  </si>
  <si>
    <t>Pfam IDs</t>
  </si>
  <si>
    <t>Entrez Gene ID</t>
  </si>
  <si>
    <t>Gene ID</t>
  </si>
  <si>
    <t>Ensembl Gene ID</t>
  </si>
  <si>
    <t>Gene Symbol</t>
  </si>
  <si>
    <t>Reactome Pathways</t>
  </si>
  <si>
    <t>WikiPathways</t>
  </si>
  <si>
    <t># Protein Pathway Groups</t>
  </si>
  <si>
    <t>Found in Sample: [S2] F2: Sample</t>
  </si>
  <si>
    <t># Protein Groups</t>
  </si>
  <si>
    <t>Modifications</t>
  </si>
  <si>
    <t>High</t>
  </si>
  <si>
    <t>Master Protein</t>
  </si>
  <si>
    <t>IPI00556624 IPI:IPI00556624.1</t>
  </si>
  <si>
    <t>TREMBL:Q6GSJ0 REFSEQ_NP:NP_006112|ENSEMBL:ENSP00000252244 Tax_Id=9606 Keratin 1</t>
  </si>
  <si>
    <t/>
  </si>
  <si>
    <t>Phospho [S21(98.1)]</t>
  </si>
  <si>
    <t>Confidence</t>
  </si>
  <si>
    <t>Annotated Sequence</t>
  </si>
  <si>
    <t>Qvality PEP</t>
  </si>
  <si>
    <t>Qvality q-value</t>
  </si>
  <si>
    <t># Proteins</t>
  </si>
  <si>
    <t>Master Protein Accessions</t>
  </si>
  <si>
    <t>Positions in Master Proteins</t>
  </si>
  <si>
    <t>Modifications in Master Proteins</t>
  </si>
  <si>
    <t># Missed Cleavages</t>
  </si>
  <si>
    <t>Theo. MH+ [Da]</t>
  </si>
  <si>
    <t>Confidence (by Search Engine): Sequest HT</t>
  </si>
  <si>
    <t>Percolator q-Value (by Search Engine): Sequest HT</t>
  </si>
  <si>
    <t>Percolator PEP (by Search Engine): Sequest HT</t>
  </si>
  <si>
    <t>XCorr (by Search Engine): Sequest HT</t>
  </si>
  <si>
    <t>[K].AEAESLYQSK.[Y]</t>
  </si>
  <si>
    <t>IPI00556624 IPI:IPI00556624.1 [367-376]</t>
  </si>
  <si>
    <t>[K].AQYEDIAQK.[S]</t>
  </si>
  <si>
    <t>IPI00556624 IPI:IPI00556624.1 [356-364]</t>
  </si>
  <si>
    <t>[K].AQYEDIAQKSK.[A]</t>
  </si>
  <si>
    <t>IPI00556624 IPI:IPI00556624.1 [356-366]</t>
  </si>
  <si>
    <t>[K].DVDGAYMTK.[V]</t>
  </si>
  <si>
    <t>IPI00556624 IPI:IPI00556624.1 [290-298]</t>
  </si>
  <si>
    <t>1xOxidation [M7]</t>
  </si>
  <si>
    <t>[R].DYQELMNTK.[L]</t>
  </si>
  <si>
    <t>IPI00556624 IPI:IPI00556624.1 [464-472]</t>
  </si>
  <si>
    <t>1xOxidation [M6]</t>
  </si>
  <si>
    <t>[R].FLEQQNQVLQTK.[W]</t>
  </si>
  <si>
    <t>sp; IPI00376379 IPI:IPI00376379.1; IPI00556624 IPI:IPI00556624.1</t>
  </si>
  <si>
    <t>sp [204-215]; IPI00376379 IPI:IPI00376379.1 [184-195]; IPI00556624 IPI:IPI00556624.1 [200-211]</t>
  </si>
  <si>
    <t>[R].FSSCGGGGGSFGAGGGFGSR.[S]</t>
  </si>
  <si>
    <t>1xCarbamidomethyl [C4]</t>
  </si>
  <si>
    <t>IPI00556624 IPI:IPI00556624.1 [46-65]</t>
  </si>
  <si>
    <t>[R].FVSTTYSGVTR.[-]</t>
  </si>
  <si>
    <t>IPI00556624 IPI:IPI00556624.1 [634-644]</t>
  </si>
  <si>
    <t>[R].GGGGGGYGSGGSSYGSGGGSYGSGGGGGGGR.[G]</t>
  </si>
  <si>
    <t>IPI00556624 IPI:IPI00556624.1 [519-549]</t>
  </si>
  <si>
    <t>[R].GGSGGGGGGSSGGRGSGGGSSGGSIGGR.[G]</t>
  </si>
  <si>
    <t>IPI00556624 IPI:IPI00556624.1 [589-616]</t>
  </si>
  <si>
    <t>[R].GSGGGSSGGSIGGR.[G]</t>
  </si>
  <si>
    <t>IPI00556624 IPI:IPI00556624.1 [603-616]</t>
  </si>
  <si>
    <t>[R].GSGGGSSGGSIGGRGSSSGGVK.[S]</t>
  </si>
  <si>
    <t>IPI00556624 IPI:IPI00556624.1 [603-624]</t>
  </si>
  <si>
    <t>[K].KQISNLQQSISDAEQR.[G]</t>
  </si>
  <si>
    <t>IPI00556624 IPI:IPI00556624.1 [417-432]</t>
  </si>
  <si>
    <t>[R].LDSELKNMQDMVEDYR.[N]</t>
  </si>
  <si>
    <t>2xOxidation [M8; M11]</t>
  </si>
  <si>
    <t>IPI00556624 IPI:IPI00556624.1 [252-267]</t>
  </si>
  <si>
    <t>[K].IEISELNR.[V]</t>
  </si>
  <si>
    <t>sp; IPI00556624 IPI:IPI00556624.1</t>
  </si>
  <si>
    <t>sp [400-407]; IPI00556624 IPI:IPI00556624.1 [396-403]</t>
  </si>
  <si>
    <t>[K].LNDLEDALQQAK.[E]</t>
  </si>
  <si>
    <t>IPI00556624 IPI:IPI00556624.1 [444-455]</t>
  </si>
  <si>
    <t>[KR].NKYEDEINKR.[T]</t>
  </si>
  <si>
    <t>IPI00009867 IPI:IPI00009867.2; IPI00479403 IPI:IPI00479403.2; IPI00293665 IPI:IPI00293665.6; IPI00556624 IPI:IPI00556624.1</t>
  </si>
  <si>
    <t>IPI00009867 IPI:IPI00009867.2 [256-265]; IPI00479403 IPI:IPI00479403.2 [250-259]; IPI00293665 IPI:IPI00293665.6 [250-259]; IPI00556624 IPI:IPI00556624.1 [268-277]</t>
  </si>
  <si>
    <t>[K].NMQDMVEDYR.[N]</t>
  </si>
  <si>
    <t>1xOxidation [M]</t>
  </si>
  <si>
    <t>IPI00556624 IPI:IPI00556624.1 [258-267]</t>
  </si>
  <si>
    <t>2xOxidation [M2; M5]</t>
  </si>
  <si>
    <t>[R].NSKIEISELNR.[V]</t>
  </si>
  <si>
    <t>IPI00556624 IPI:IPI00556624.1 [393-403]</t>
  </si>
  <si>
    <t>[K].QISNLQQSISDAEQR.[G]</t>
  </si>
  <si>
    <t>IPI00556624 IPI:IPI00556624.1 [418-432]</t>
  </si>
  <si>
    <t>[R].SEIDNVKK.[Q]</t>
  </si>
  <si>
    <t>IPI00556624 IPI:IPI00556624.1 [410-417]</t>
  </si>
  <si>
    <t>[R].SGGGFSSGSAGIINYQR.[R]</t>
  </si>
  <si>
    <t>IPI00556624 IPI:IPI00556624.1 [13-29]</t>
  </si>
  <si>
    <t>1xPhospho [S9(98.1)]</t>
  </si>
  <si>
    <t>IPI00556624 IPI:IPI00556624.1 1xPhospho [S21(98.1)]</t>
  </si>
  <si>
    <t>[K].SKAEAESLYQSK.[Y]</t>
  </si>
  <si>
    <t>IPI00556624 IPI:IPI00556624.1 [365-376]</t>
  </si>
  <si>
    <t>[R].SLDLDSIIAEVK.[A]</t>
  </si>
  <si>
    <t>IPI00556624 IPI:IPI00556624.1 [344-355]</t>
  </si>
  <si>
    <t>[K].SLNNQFASFIDK.[V]</t>
  </si>
  <si>
    <t>IPI00556624 IPI:IPI00556624.1 [186-197]</t>
  </si>
  <si>
    <t>[K].SISISVAR.[G]</t>
  </si>
  <si>
    <t>IPI00556624 IPI:IPI00556624.1 [75-82]</t>
  </si>
  <si>
    <t>[R].SLVNLGGSK.[S]</t>
  </si>
  <si>
    <t>IPI00556624 IPI:IPI00556624.1 [66-74]</t>
  </si>
  <si>
    <t>[R].TLLEGEESR.[M]</t>
  </si>
  <si>
    <t>IPI00556624 IPI:IPI00556624.1 [484-492]</t>
  </si>
  <si>
    <t>[R].TNAENEFVTIK.[K]</t>
  </si>
  <si>
    <t>IPI00556624 IPI:IPI00556624.1 [278-288]</t>
  </si>
  <si>
    <t>[R].TNAENEFVTIKK.[D]</t>
  </si>
  <si>
    <t>IPI00556624 IPI:IPI00556624.1 [278-289]</t>
  </si>
  <si>
    <t>[R].VDQLKSDQSR.[L]</t>
  </si>
  <si>
    <t>IPI00556624 IPI:IPI00556624.1 [242-251]</t>
  </si>
  <si>
    <t>[K].WELLQQVDTSTR.[T]</t>
  </si>
  <si>
    <t>IPI00556624 IPI:IPI00556624.1 [212-223]</t>
  </si>
  <si>
    <t>[K].YEELQITAGR.[H]</t>
  </si>
  <si>
    <t>IPI00556624 IPI:IPI00556624.1 [377-386]</t>
  </si>
  <si>
    <t>YOR195W</t>
  </si>
  <si>
    <t>SLK19 SGDID:S000005721, Chr XV from 712867-715332, Verified ORF, "Kinetochore-associated protein required for normal segregation of chromosomes in meiosis and mitosis; component of the FEAR regulatory network, which promotes Cdc14p release from the nucleolus during anaphase; potential Cdc28p substrate"</t>
  </si>
  <si>
    <t>cell cycle OR cell proliferation;cell organization and biogenesis;transport;other biological processes</t>
  </si>
  <si>
    <t>cytoskeleton;other cell component</t>
  </si>
  <si>
    <t>Pf12709</t>
  </si>
  <si>
    <t>854370</t>
  </si>
  <si>
    <t>A0A8H4F8U9; D6W2Q4; N1NX48; Q08581; sce:YOR195W; YOR195W</t>
  </si>
  <si>
    <t>SLK19</t>
  </si>
  <si>
    <t>Phospho [T7(94.2); S72(100); S216(100); S707(80.9)]; Acetyl [N-Term]</t>
  </si>
  <si>
    <t>[K].EAEIDSLNSEMDELKK.[Q]</t>
  </si>
  <si>
    <t>1xOxidation [M11]</t>
  </si>
  <si>
    <t>YOR195W [554-569]</t>
  </si>
  <si>
    <t>[K].ELNTEIK.[V]</t>
  </si>
  <si>
    <t>YOR195W [382-388]</t>
  </si>
  <si>
    <t>[K].ENELDNLK.[L]</t>
  </si>
  <si>
    <t>YOR195W [482-489]</t>
  </si>
  <si>
    <t>[K].ENEVLMEQNNNNNNSVTLSNDQK.[D]</t>
  </si>
  <si>
    <t>1xOxidation [M6]; 1xPhospho [S15(80.9)]</t>
  </si>
  <si>
    <t>YOR195W [693-715]</t>
  </si>
  <si>
    <t>YOR195W 1xPhospho [S707(80.9)]</t>
  </si>
  <si>
    <t>[R].EQNSENCSQERNPR.[T]</t>
  </si>
  <si>
    <t>1xCarbamidomethyl [C7]</t>
  </si>
  <si>
    <t>YOR195W [20-33]</t>
  </si>
  <si>
    <t>[R].ESNSNEEGRNDYDDDNQLDIR.[H]</t>
  </si>
  <si>
    <t>YOR195W [282-302]</t>
  </si>
  <si>
    <t>[K].FDQLNLENK.[T]</t>
  </si>
  <si>
    <t>YOR195W [781-789]</t>
  </si>
  <si>
    <t>[K].FIINDGVER.[N]</t>
  </si>
  <si>
    <t>YOR195W [205-213]</t>
  </si>
  <si>
    <t>[K].LDKLNTER.[E]</t>
  </si>
  <si>
    <t>YOR195W [359-366]</t>
  </si>
  <si>
    <t>[K].LENDINEK.[Q]</t>
  </si>
  <si>
    <t>YOR195W [226-233]</t>
  </si>
  <si>
    <t>[R].IKELNTEIK.[V]</t>
  </si>
  <si>
    <t>YOR195W [380-388]</t>
  </si>
  <si>
    <t>[K].LLAEDLYIQYSSK.[H]</t>
  </si>
  <si>
    <t>YOR195W [749-761]</t>
  </si>
  <si>
    <t>[R].LILGQAQQR.[E]</t>
  </si>
  <si>
    <t>YOR195W [11-19]</t>
  </si>
  <si>
    <t>[K].ILNDKNVELENMK.[A]</t>
  </si>
  <si>
    <t>1xOxidation [M12]</t>
  </si>
  <si>
    <t>YOR195W [428-440]</t>
  </si>
  <si>
    <t>[K].LQLESVPDLK.[Q]</t>
  </si>
  <si>
    <t>YOR195W [163-172]</t>
  </si>
  <si>
    <t>[K].LSEYETTLNDLNSR.[I]</t>
  </si>
  <si>
    <t>YOR195W [450-463]</t>
  </si>
  <si>
    <t>[R].LTPLYETSAR.[E]</t>
  </si>
  <si>
    <t>YOR195W [272-281]</t>
  </si>
  <si>
    <t>[K].MDDLNNLNDDNLK.[V]</t>
  </si>
  <si>
    <t>YOR195W [525-537]</t>
  </si>
  <si>
    <t>1xOxidation [M1]</t>
  </si>
  <si>
    <t>[-].MNEVPTTPVR.[L]</t>
  </si>
  <si>
    <t>1xAcetyl [N-Term]; 1xPhospho [T7(94.2)]</t>
  </si>
  <si>
    <t>YOR195W [1-10]</t>
  </si>
  <si>
    <t>YOR195W 1xAcetyl [N-Term]; 1xPhospho [T7(94.2)]</t>
  </si>
  <si>
    <t>[R].NAEVTELNGDIEDLKESK.[L]</t>
  </si>
  <si>
    <t>YOR195W [596-613]</t>
  </si>
  <si>
    <t>[R].NDSFNINTDTLK.[L]</t>
  </si>
  <si>
    <t>YOR195W [214-225]</t>
  </si>
  <si>
    <t>1xPhospho [S3(100)]</t>
  </si>
  <si>
    <t>YOR195W 1xPhospho [S216(100)]</t>
  </si>
  <si>
    <t>[R].NDSFNINTDTLKLENDINEK.[Q]</t>
  </si>
  <si>
    <t>1xPhospho [S3(99.9)]</t>
  </si>
  <si>
    <t>YOR195W [214-233]</t>
  </si>
  <si>
    <t>YOR195W 1xPhospho [S216(99.9)]</t>
  </si>
  <si>
    <t>[R].NDYDDDNQLDIR.[H]</t>
  </si>
  <si>
    <t>YOR195W [291-302]</t>
  </si>
  <si>
    <t>[K].NESLSFQYEK.[L]</t>
  </si>
  <si>
    <t>YOR195W [334-343]</t>
  </si>
  <si>
    <t>[K].NNANPLENIDINK.[M]</t>
  </si>
  <si>
    <t>YOR195W [85-97]</t>
  </si>
  <si>
    <t>[K].NSNIQAEHIK.[E]</t>
  </si>
  <si>
    <t>YOR195W [655-664]</t>
  </si>
  <si>
    <t>[K].QDLDRSIDYGR.[S]</t>
  </si>
  <si>
    <t>1xPhospho [S6(100)]</t>
  </si>
  <si>
    <t>YOR195W [67-77]</t>
  </si>
  <si>
    <t>YOR195W 1xPhospho [S72(100)]</t>
  </si>
  <si>
    <t>[K].QQEEDFIK.[S]</t>
  </si>
  <si>
    <t>YOR195W [234-241]</t>
  </si>
  <si>
    <t>[K].SKENELDNLK.[L]</t>
  </si>
  <si>
    <t>YOR195W [480-489]</t>
  </si>
  <si>
    <t>[K].SNSNNVVNIDNAYK.[E]</t>
  </si>
  <si>
    <t>YOR195W [242-255]</t>
  </si>
  <si>
    <t>[K].TLSEEIEQLNK.[Q]</t>
  </si>
  <si>
    <t>YOR195W [790-800]</t>
  </si>
  <si>
    <t>[K].TSLELESLQLK.[N]</t>
  </si>
  <si>
    <t>YOR195W [644-654]</t>
  </si>
  <si>
    <t>[K].YETVEDEAK.[I]</t>
  </si>
  <si>
    <t>YOR195W [585-593]</t>
  </si>
  <si>
    <t>sp</t>
  </si>
  <si>
    <t>K22E_HUMAN</t>
  </si>
  <si>
    <t>[RK].AQYEEIAQR.[S]</t>
  </si>
  <si>
    <t>IPI00290078 IPI:IPI00290078.2; sp; IPI00479403 IPI:IPI00479403.2; IPI00293665 IPI:IPI00293665.6</t>
  </si>
  <si>
    <t>IPI00290078 IPI:IPI00290078.2 [401-409]; sp [360-368]; IPI00479403 IPI:IPI00479403.2 [338-346]; IPI00293665 IPI:IPI00293665.6 [338-346]</t>
  </si>
  <si>
    <t>[K].DVDNAYMIK.[V]</t>
  </si>
  <si>
    <t>sp [294-302]</t>
  </si>
  <si>
    <t>[R].DYQELMNVK.[L]</t>
  </si>
  <si>
    <t>IPI00290857 IPI:IPI00290857.1; sp; IPI00008359 IPI:IPI00008359.1</t>
  </si>
  <si>
    <t>IPI00290857 IPI:IPI00290857.1 [484-492]; sp [468-476]; IPI00008359 IPI:IPI00008359.1 [467-475]</t>
  </si>
  <si>
    <t>[K].EEAEALYHSK.[Y]</t>
  </si>
  <si>
    <t>sp [371-380]</t>
  </si>
  <si>
    <t>[K].FASFIDK.[V]</t>
  </si>
  <si>
    <t>IPI00290078 IPI:IPI00290078.2; IPI00290857 IPI:IPI00290857.1; sp; IPI00008359 IPI:IPI00008359.1; IPI00009867 IPI:IPI00009867.2; IPI00061200 IPI:IPI00061200.1; IPI00479403 IPI:IPI00479403.2; IPI00103481 IPI:IPI00103481.1; IPI00293665 IPI:IPI00293665.6; IPI00376379 IPI:IPI00376379.1</t>
  </si>
  <si>
    <t>IPI00290078 IPI:IPI00290078.2 [236-242]; IPI00290857 IPI:IPI00290857.1 [209-215]; sp [195-201]; IPI00008359 IPI:IPI00008359.1 [194-200]; IPI00009867 IPI:IPI00009867.2 [179-185]; IPI00061200 IPI:IPI00061200.1 [141-147]; IPI00479403 IPI:IPI00479403.2 [173-179]; IPI00103481 IPI:IPI00103481.1 [136-142]; IPI00293665 IPI:IPI00293665.6 [173-179]; IPI00376379 IPI:IPI00376379.1 [175-181]</t>
  </si>
  <si>
    <t>[R].GFSSGSAVVSGGSR.[R]</t>
  </si>
  <si>
    <t>sp [21-34]</t>
  </si>
  <si>
    <t>[R].GFSSGSAVVSGGSRR.[S]</t>
  </si>
  <si>
    <t>sp [21-35]</t>
  </si>
  <si>
    <t>[R].GGSGGGGSISGGGYGSGGGSGGR.[Y]</t>
  </si>
  <si>
    <t>sp [556-578]</t>
  </si>
  <si>
    <t>[K].GGSISGGGYGSGGGK.[H]</t>
  </si>
  <si>
    <t>sp [587-601]</t>
  </si>
  <si>
    <t>[R].GGSSSGGGYGSGGGGSSSVK.[G]</t>
  </si>
  <si>
    <t>sp [610-629]</t>
  </si>
  <si>
    <t>[R].GSSSGGGYSSGSSSYGSGGR.[Q]</t>
  </si>
  <si>
    <t>sp [531-550]</t>
  </si>
  <si>
    <t>[R].HGGGGGGFGGGGFGSR.[S]</t>
  </si>
  <si>
    <t>sp [46-61]</t>
  </si>
  <si>
    <t>[KR].LLEGEECR.[ML]</t>
  </si>
  <si>
    <t>sp; IPI00008359 IPI:IPI00008359.1; IPI00009867 IPI:IPI00009867.2; IPI00166205 IPI:IPI00166205.2; IPI00479403 IPI:IPI00479403.2; IPI00293665 IPI:IPI00293665.6</t>
  </si>
  <si>
    <t>sp [489-496]; IPI00008359 IPI:IPI00008359.1 [488-495]; IPI00009867 IPI:IPI00009867.2 [473-480]; IPI00166205 IPI:IPI00166205.2 [417-424]; IPI00479403 IPI:IPI00479403.2 [467-474]; IPI00293665 IPI:IPI00293665.6 [467-474]</t>
  </si>
  <si>
    <t>[K].LNDLEEALQQAK.[E]</t>
  </si>
  <si>
    <t>sp [448-459]</t>
  </si>
  <si>
    <t>[R].NLDLDSIIAEVK.[A]</t>
  </si>
  <si>
    <t>sp; IPI00009867 IPI:IPI00009867.2; IPI00479403 IPI:IPI00479403.2; IPI00293665 IPI:IPI00293665.6</t>
  </si>
  <si>
    <t>sp [348-359]; IPI00009867 IPI:IPI00009867.2 [332-343]; IPI00479403 IPI:IPI00479403.2 [326-337]; IPI00293665 IPI:IPI00293665.6 [326-337]</t>
  </si>
  <si>
    <t>[K].NVQDAIADAEQR.[G]</t>
  </si>
  <si>
    <t>sp [425-436]</t>
  </si>
  <si>
    <t>[R].STSSFSCLSR.[H]</t>
  </si>
  <si>
    <t>sp [36-45]</t>
  </si>
  <si>
    <t>[R].TAAENDFVTLK.[K]</t>
  </si>
  <si>
    <t>sp [282-292]</t>
  </si>
  <si>
    <t>[R].TAAENDFVTLKK.[D]</t>
  </si>
  <si>
    <t>sp [282-293]</t>
  </si>
  <si>
    <t>[R].TSQNSELNNMQDLVEDYK.[K]</t>
  </si>
  <si>
    <t>1xOxidation [M10]</t>
  </si>
  <si>
    <t>sp [254-271]</t>
  </si>
  <si>
    <t>[R].TSQNSELNNMQDLVEDYKK.[K]</t>
  </si>
  <si>
    <t>sp [254-272]</t>
  </si>
  <si>
    <t>[K].VDPEIQNVK.[A]</t>
  </si>
  <si>
    <t>sp [173-181]</t>
  </si>
  <si>
    <t>[K].YEELQVTVGR.[H]</t>
  </si>
  <si>
    <t>sp [381-390]</t>
  </si>
  <si>
    <t>[R].YLDGLTAER.[T]</t>
  </si>
  <si>
    <t>sp [245-253]</t>
  </si>
  <si>
    <t>K1C10_HUMAN</t>
  </si>
  <si>
    <t>[R].AETECQNTEYQQLLDIK.[I]</t>
  </si>
  <si>
    <t>1xCarbamidomethyl [C5]</t>
  </si>
  <si>
    <t>sp [423-439]</t>
  </si>
  <si>
    <t>[R].ALEESNYELEGK.[I]</t>
  </si>
  <si>
    <t>sp [166-177]</t>
  </si>
  <si>
    <t>[KR].DAEAWFNEK.[S]</t>
  </si>
  <si>
    <t>IPI00328103 IPI:IPI00328103.1; sp</t>
  </si>
  <si>
    <t>IPI00328103 IPI:IPI00328103.1 [274-282]; sp [335-343]</t>
  </si>
  <si>
    <t>[K].ELTTEIDNNIEQISSYK.[S]</t>
  </si>
  <si>
    <t>sp [346-362]</t>
  </si>
  <si>
    <t>[K].GSLGGGFSSGGFSGGSFSR.[G]</t>
  </si>
  <si>
    <t>sp [41-59]</t>
  </si>
  <si>
    <t>[K].HGNSHQGEPR.[D]</t>
  </si>
  <si>
    <t>sp [185-194]</t>
  </si>
  <si>
    <t>[KR].LAADDFR.[TLVAI]</t>
  </si>
  <si>
    <t>sp; IPI00384444 IPI:IPI00384444.4; sp; IPI00217963 IPI:IPI00217963.2; IPI00450768 IPI:IPI00450768.4; IPI00009866 IPI:IPI00009866.5; IPI00290077 IPI:IPI00290077.1</t>
  </si>
  <si>
    <t>sp [173-179]; IPI00384444 IPI:IPI00384444.4 [194-200]; sp [229-235]; IPI00217963 IPI:IPI00217963.2 [196-202]; IPI00450768 IPI:IPI00450768.4 [163-169]; IPI00009866 IPI:IPI00009866.5 [185-191]; IPI00290077 IPI:IPI00290077.1 [186-192]</t>
  </si>
  <si>
    <t>[R].LASYLDK.[VM]</t>
  </si>
  <si>
    <t>IPI00384444 IPI:IPI00384444.4; sp; IPI00217963 IPI:IPI00217963.2; IPI00450768 IPI:IPI00450768.4; IPI00290077 IPI:IPI00290077.1; IPI00019359 IPI:IPI00019359.2</t>
  </si>
  <si>
    <t>IPI00384444 IPI:IPI00384444.4 [125-131]; sp [157-163]; IPI00217963 IPI:IPI00217963.2 [127-133]; IPI00450768 IPI:IPI00450768.4 [94-100]; IPI00290077 IPI:IPI00290077.1 [116-122]; IPI00019359 IPI:IPI00019359.2 [164-170]</t>
  </si>
  <si>
    <t>[R].LASYLDKVR.[A]</t>
  </si>
  <si>
    <t>IPI00384444 IPI:IPI00384444.4; sp; IPI00217963 IPI:IPI00217963.2; IPI00450768 IPI:IPI00450768.4; IPI00290077 IPI:IPI00290077.1</t>
  </si>
  <si>
    <t>IPI00384444 IPI:IPI00384444.4 [125-133]; sp [157-165]; IPI00217963 IPI:IPI00217963.2 [127-135]; IPI00450768 IPI:IPI00450768.4 [94-102]; IPI00290077 IPI:IPI00290077.1 [116-124]</t>
  </si>
  <si>
    <t>[R].LENEIQTYR.[S]</t>
  </si>
  <si>
    <t>sp [442-450]</t>
  </si>
  <si>
    <t>[K].IKEWYEK.[H]</t>
  </si>
  <si>
    <t>sp [178-184]</t>
  </si>
  <si>
    <t>[R].LKYENEVALR.[Q]</t>
  </si>
  <si>
    <t>sp [236-245]</t>
  </si>
  <si>
    <t>[K].NHEEEMKDLR.[N]</t>
  </si>
  <si>
    <t>sp [286-295]</t>
  </si>
  <si>
    <t>[K].QSLEASLAETEGR.[Y]</t>
  </si>
  <si>
    <t>sp [387-399]</t>
  </si>
  <si>
    <t>[R].QSVEADINGLR.[R]</t>
  </si>
  <si>
    <t>sp; IPI00009866 IPI:IPI00009866.5</t>
  </si>
  <si>
    <t>sp [246-256]; IPI00009866 IPI:IPI00009866.5 [202-212]</t>
  </si>
  <si>
    <t>[R].QSVEADINGLRR.[V]</t>
  </si>
  <si>
    <t>sp [246-257]; IPI00009866 IPI:IPI00009866.5 [202-213]</t>
  </si>
  <si>
    <t>[K].SEITELR.[R]</t>
  </si>
  <si>
    <t>sp [363-369]</t>
  </si>
  <si>
    <t>[R].SGGGGGGGGCGGGGGVSSLR.[I]</t>
  </si>
  <si>
    <t>1xCarbamidomethyl [C10]</t>
  </si>
  <si>
    <t>sp [16-35]</t>
  </si>
  <si>
    <t>[K].SKELTTEIDNNIEQISSYK.[S]</t>
  </si>
  <si>
    <t>sp [344-362]</t>
  </si>
  <si>
    <t>[R].SLLEGEGSSGGGGR.[G]</t>
  </si>
  <si>
    <t>sp [451-464]</t>
  </si>
  <si>
    <t>[R].SQYEQLAEQNR.[K]</t>
  </si>
  <si>
    <t>sp [323-333]</t>
  </si>
  <si>
    <t>[R].SQYEQLAEQNRK.[D]</t>
  </si>
  <si>
    <t>sp [323-334]</t>
  </si>
  <si>
    <t>[K].SSSSGSVGESSSKGPR.[Y]</t>
  </si>
  <si>
    <t>sp [577-592]</t>
  </si>
  <si>
    <t>[R].VLDELTLTK.[AT]</t>
  </si>
  <si>
    <t>sp [258-266]</t>
  </si>
  <si>
    <t>[K].VTMQNLNDR.[L]</t>
  </si>
  <si>
    <t>IPI00384444 IPI:IPI00384444.4; IPI00328103 IPI:IPI00328103.1; sp; IPI00217963 IPI:IPI00217963.2</t>
  </si>
  <si>
    <t>IPI00384444 IPI:IPI00384444.4 [116-124]; IPI00328103 IPI:IPI00328103.1 [86-94]; sp [148-156]; IPI00217963 IPI:IPI00217963.2 [118-126]</t>
  </si>
  <si>
    <t>1xOxidation [M3]</t>
  </si>
  <si>
    <t>[K].YENEVALR.[Q]</t>
  </si>
  <si>
    <t>sp [238-245]</t>
  </si>
  <si>
    <t>IPI00019359 IPI:IPI00019359.2</t>
  </si>
  <si>
    <t>SWISS-PROT:P35527 REFSEQ_NP:NP_000217|ENSEMBL:ENSP00000246662 Tax_Id=9606 Keratin 9</t>
  </si>
  <si>
    <t>cell organization and biogenesis;other biological processes</t>
  </si>
  <si>
    <t>cytosol;cytoskeleton</t>
  </si>
  <si>
    <t>cytoskeletal activity;other molecular function</t>
  </si>
  <si>
    <t>Pf00038</t>
  </si>
  <si>
    <t>3857; 454664</t>
  </si>
  <si>
    <t>A0A2J8KG96; A0A6D2VYW7; H2QCZ6; hsa:3857; IPI00019359 IPI:IPI00019359.2; O00109; P35527; ptr:454664; Q0IJ47; Q14665</t>
  </si>
  <si>
    <t>ENSG00000171403; ENSPTRG00000009169</t>
  </si>
  <si>
    <t>KRT9</t>
  </si>
  <si>
    <t>Formation of the cornified envelope</t>
  </si>
  <si>
    <t>[K].DIENQYETQITQIEHEVSSSGQEVQSSAK.[E]</t>
  </si>
  <si>
    <t>IPI00019359 IPI:IPI00019359.2 [340-368]</t>
  </si>
  <si>
    <t>[K].DQIVDLTVGNNK.[T]</t>
  </si>
  <si>
    <t>IPI00019359 IPI:IPI00019359.2 [213-224]</t>
  </si>
  <si>
    <t>[K].FEMEQNLR.[Q]</t>
  </si>
  <si>
    <t>IPI00019359 IPI:IPI00019359.2 [243-250]</t>
  </si>
  <si>
    <t>[R].FSSSGGGGGGGR.[F]</t>
  </si>
  <si>
    <t>IPI00019359 IPI:IPI00019359.2 [35-46]</t>
  </si>
  <si>
    <t>[R].FSSSSGYGGGSSR.[V]</t>
  </si>
  <si>
    <t>IPI00019359 IPI:IPI00019359.2 [47-59]</t>
  </si>
  <si>
    <t>[R].GGSGGSYGGGGSGGGYGGGSGSR.[G]</t>
  </si>
  <si>
    <t>IPI00019359 IPI:IPI00019359.2 [491-513]</t>
  </si>
  <si>
    <t>[R].IKFEMEQNLR.[Q]</t>
  </si>
  <si>
    <t>1xOxidation [M5]</t>
  </si>
  <si>
    <t>IPI00019359 IPI:IPI00019359.2 [241-250]</t>
  </si>
  <si>
    <t>[K].IQDWYDK.[K]</t>
  </si>
  <si>
    <t>IPI00019359 IPI:IPI00019359.2 [185-191]</t>
  </si>
  <si>
    <t>[K].IQDWYDKK.[G]</t>
  </si>
  <si>
    <t>IPI00019359 IPI:IPI00019359.2 [185-192]</t>
  </si>
  <si>
    <t>[R].MTLDDFR.[I]</t>
  </si>
  <si>
    <t>IPI00019359 IPI:IPI00019359.2 [234-240]</t>
  </si>
  <si>
    <t>[R].QEYEQLIAK.[N]</t>
  </si>
  <si>
    <t>IPI00019359 IPI:IPI00019359.2 [328-336]</t>
  </si>
  <si>
    <t>[R].QFSSSYLSR.[S]</t>
  </si>
  <si>
    <t>IPI00019359 IPI:IPI00019359.2 [5-13]</t>
  </si>
  <si>
    <t>[R].QGVDADINGLR.[Q]</t>
  </si>
  <si>
    <t>IPI00019359 IPI:IPI00019359.2 [251-261]</t>
  </si>
  <si>
    <t>[R].QVLDNLTMEK.[S]</t>
  </si>
  <si>
    <t>IPI00019359 IPI:IPI00019359.2 [262-271]</t>
  </si>
  <si>
    <t>1xOxidation [M8]</t>
  </si>
  <si>
    <t>[R].SGGGGGGGLGSGGSIR.[S]</t>
  </si>
  <si>
    <t>IPI00019359 IPI:IPI00019359.2 [14-29]</t>
  </si>
  <si>
    <t>[K].STMQELNSR.[L]</t>
  </si>
  <si>
    <t>IPI00019359 IPI:IPI00019359.2 [155-163]</t>
  </si>
  <si>
    <t>[K].TLLDIDNTR.[M]</t>
  </si>
  <si>
    <t>IPI00019359 IPI:IPI00019359.2 [225-233]</t>
  </si>
  <si>
    <t>[K].VQALEEANNDLENK.[I]</t>
  </si>
  <si>
    <t>IPI00019359 IPI:IPI00019359.2 [171-184]</t>
  </si>
  <si>
    <t>IPI00384444 IPI:IPI00384444.4</t>
  </si>
  <si>
    <t>SWISS-PROT:P02533 TREMBL:Q9UBN2;Q13092;Q53XY3;Q9UBN3|REFSEQ_NP:NP_000517|ENSEMBL:ENSP00000167586|H-INV:HIT000031101;HIT000038549 Tax_Id=9606 Keratin, type I cytoskeletal 14</t>
  </si>
  <si>
    <t>[R].ALEEANADLEVK.[I]</t>
  </si>
  <si>
    <t>IPI00384444 IPI:IPI00384444.4; IPI00217963 IPI:IPI00217963.2; IPI00009866 IPI:IPI00009866.5; IPI00290077 IPI:IPI00290077.1</t>
  </si>
  <si>
    <t>IPI00384444 IPI:IPI00384444.4 [134-145]; IPI00217963 IPI:IPI00217963.2 [136-147]; IPI00009866 IPI:IPI00009866.5 [124-135]; IPI00290077 IPI:IPI00290077.1 [125-136]</t>
  </si>
  <si>
    <t>[R].APSTYGGGLSVSSSR.[F]</t>
  </si>
  <si>
    <t>IPI00384444 IPI:IPI00384444.4 [41-55]</t>
  </si>
  <si>
    <t>[K].ASLENSLEETK.[G]</t>
  </si>
  <si>
    <t>IPI00384444 IPI:IPI00384444.4; IPI00217963 IPI:IPI00217963.2</t>
  </si>
  <si>
    <t>IPI00384444 IPI:IPI00384444.4 [352-362]; IPI00217963 IPI:IPI00217963.2 [354-364]</t>
  </si>
  <si>
    <t>[K].ASLENSLEETKGR.[Y]</t>
  </si>
  <si>
    <t>IPI00384444 IPI:IPI00384444.4 [352-364]; IPI00217963 IPI:IPI00217963.2 [354-366]</t>
  </si>
  <si>
    <t>[R].CEMEQQNQEYK.[I]</t>
  </si>
  <si>
    <t>1xCarbamidomethyl [C1]; 1xOxidation [M3]</t>
  </si>
  <si>
    <t>IPI00384444 IPI:IPI00384444.4; IPI00450768 IPI:IPI00450768.4</t>
  </si>
  <si>
    <t>IPI00384444 IPI:IPI00384444.4 [388-398]; IPI00450768 IPI:IPI00450768.4 [357-367]</t>
  </si>
  <si>
    <t>[K].DAEEWFFTK.[T]</t>
  </si>
  <si>
    <t>IPI00384444 IPI:IPI00384444.4 [300-308]</t>
  </si>
  <si>
    <t>[KR].DYSPYFK.[T]</t>
  </si>
  <si>
    <t>IPI00384444 IPI:IPI00384444.4 [160-166]; IPI00217963 IPI:IPI00217963.2 [162-168]</t>
  </si>
  <si>
    <t>[R].EVATNSELVQSGK.[S]</t>
  </si>
  <si>
    <t>IPI00384444 IPI:IPI00384444.4 [315-327]; IPI00450768 IPI:IPI00450768.4 [284-296]</t>
  </si>
  <si>
    <t>[R].GQVGGDVNVEMDAAPGVDLSR.[I]</t>
  </si>
  <si>
    <t>IPI00384444 IPI:IPI00384444.4 [261-281]</t>
  </si>
  <si>
    <t>[R].LEQEIATYR.[SR]</t>
  </si>
  <si>
    <t>IPI00384444 IPI:IPI00384444.4; IPI00217963 IPI:IPI00217963.2; IPI00450768 IPI:IPI00450768.4; IPI00009866 IPI:IPI00009866.5; IPI00290077 IPI:IPI00290077.1</t>
  </si>
  <si>
    <t>IPI00384444 IPI:IPI00384444.4 [407-415]; IPI00217963 IPI:IPI00217963.2 [409-417]; IPI00450768 IPI:IPI00450768.4 [376-384]; IPI00009866 IPI:IPI00009866.5 [398-406]; IPI00290077 IPI:IPI00290077.1 [399-407]</t>
  </si>
  <si>
    <t>[R].LLEGEDAHLSSSQFSSGSQSSR.[D]</t>
  </si>
  <si>
    <t>IPI00384444 IPI:IPI00384444.4 [417-438]</t>
  </si>
  <si>
    <t>[R].ISSVLAGGSCR.[A]</t>
  </si>
  <si>
    <t>IPI00384444 IPI:IPI00384444.4 [30-40]; IPI00217963 IPI:IPI00217963.2 [30-40]</t>
  </si>
  <si>
    <t>[R].MSVEADINGLR.[R]</t>
  </si>
  <si>
    <t>IPI00384444 IPI:IPI00384444.4 [211-221]</t>
  </si>
  <si>
    <t>[K].SEISELR.[R]</t>
  </si>
  <si>
    <t>IPI00384444 IPI:IPI00384444.4 [328-334]; IPI00450768 IPI:IPI00450768.4 [297-303]</t>
  </si>
  <si>
    <t>[R].VLDELTLAR.[AT]</t>
  </si>
  <si>
    <t>IPI00384444 IPI:IPI00384444.4; IPI00217963 IPI:IPI00217963.2; IPI00450768 IPI:IPI00450768.4; IPI00290077 IPI:IPI00290077.1</t>
  </si>
  <si>
    <t>IPI00384444 IPI:IPI00384444.4 [223-231]; IPI00217963 IPI:IPI00217963.2 [225-233]; IPI00450768 IPI:IPI00450768.4 [192-200]; IPI00290077 IPI:IPI00290077.1 [215-223]</t>
  </si>
  <si>
    <t>[K].VVSTHEQVLR.[T]</t>
  </si>
  <si>
    <t>IPI00384444 IPI:IPI00384444.4 [459-468]</t>
  </si>
  <si>
    <t>IPI00009867 IPI:IPI00009867.2</t>
  </si>
  <si>
    <t>SWISS-PROT:P13647 TREMBL:Q6PI71|REFSEQ_NP:NP_000415|ENSEMBL:ENSP00000252242|H-INV:HIT000039811 Tax_Id=9606 Keratin, type II cytoskeletal 5</t>
  </si>
  <si>
    <t>[K].AQYEEIANR.[S]</t>
  </si>
  <si>
    <t>IPI00009867 IPI:IPI00009867.2 [344-352]</t>
  </si>
  <si>
    <t>[K].DVDAAYMNK.[V]</t>
  </si>
  <si>
    <t>IPI00009867 IPI:IPI00009867.2; IPI00479403 IPI:IPI00479403.2; IPI00103481 IPI:IPI00103481.1; IPI00293665 IPI:IPI00293665.6</t>
  </si>
  <si>
    <t>IPI00009867 IPI:IPI00009867.2 [278-286]; IPI00479403 IPI:IPI00479403.2 [272-280]; IPI00103481 IPI:IPI00103481.1 [235-243]; IPI00293665 IPI:IPI00293665.6 [272-280]</t>
  </si>
  <si>
    <t>[R].EYQELMNTK.[L]</t>
  </si>
  <si>
    <t>IPI00009867 IPI:IPI00009867.2 [452-460]</t>
  </si>
  <si>
    <t>[R].FLEQQNK.[LVM]</t>
  </si>
  <si>
    <t>IPI00290857 IPI:IPI00290857.1; IPI00008359 IPI:IPI00008359.1; IPI00009867 IPI:IPI00009867.2; IPI00166205 IPI:IPI00166205.2; IPI00479403 IPI:IPI00479403.2; IPI00293665 IPI:IPI00293665.6; sp</t>
  </si>
  <si>
    <t>IPI00290857 IPI:IPI00290857.1 [218-224]; IPI00008359 IPI:IPI00008359.1 [203-209]; IPI00009867 IPI:IPI00009867.2 [188-194]; IPI00166205 IPI:IPI00166205.2 [131-137]; IPI00479403 IPI:IPI00479403.2 [182-188]; IPI00293665 IPI:IPI00293665.6 [182-188]; sp [142-148]</t>
  </si>
  <si>
    <t>[K].FVSTTSSSR.[K]</t>
  </si>
  <si>
    <t>IPI00009867 IPI:IPI00009867.2 [577-585]</t>
  </si>
  <si>
    <t>[K].KDVDAAYMNK.[V]</t>
  </si>
  <si>
    <t>IPI00009867 IPI:IPI00009867.2 [277-286]; IPI00479403 IPI:IPI00479403.2 [271-280]; IPI00103481 IPI:IPI00103481.1 [234-243]; IPI00293665 IPI:IPI00293665.6 [271-280]</t>
  </si>
  <si>
    <t>[K].LAELEEALQK.[A]</t>
  </si>
  <si>
    <t>IPI00009867 IPI:IPI00009867.2 [432-441]</t>
  </si>
  <si>
    <t>[R].NMQDLVEDFK.[N]</t>
  </si>
  <si>
    <t>1xOxidation [M2]</t>
  </si>
  <si>
    <t>IPI00009867 IPI:IPI00009867.2 [246-255]</t>
  </si>
  <si>
    <t>[R].SFSTASAITPSVSR.[T]</t>
  </si>
  <si>
    <t>IPI00009867 IPI:IPI00009867.2 [16-29]</t>
  </si>
  <si>
    <t>[R].TEAESWYQTK.[Y]</t>
  </si>
  <si>
    <t>IPI00009867 IPI:IPI00009867.2 [355-364]</t>
  </si>
  <si>
    <t>[R].TSFTSVSR.[S]</t>
  </si>
  <si>
    <t>IPI00009867 IPI:IPI00009867.2 [30-37]</t>
  </si>
  <si>
    <t>[R].TTAENEFVMLK.[K]</t>
  </si>
  <si>
    <t>1xOxidation [M9]</t>
  </si>
  <si>
    <t>IPI00009867 IPI:IPI00009867.2 [266-276]</t>
  </si>
  <si>
    <t>[K].VDALMDEINFMK.[M]</t>
  </si>
  <si>
    <t>2xOxidation [M5; M11]</t>
  </si>
  <si>
    <t>IPI00009867 IPI:IPI00009867.2 [293-304]</t>
  </si>
  <si>
    <t>[R].VSLAGACGVGGYGSR.[S]</t>
  </si>
  <si>
    <t>IPI00009867 IPI:IPI00009867.2 [49-63]</t>
  </si>
  <si>
    <t>[K].WTLLQEQGTK.[T]</t>
  </si>
  <si>
    <t>IPI00009867 IPI:IPI00009867.2; IPI00479403 IPI:IPI00479403.2; IPI00293665 IPI:IPI00293665.6</t>
  </si>
  <si>
    <t>IPI00009867 IPI:IPI00009867.2 [200-209]; IPI00479403 IPI:IPI00479403.2 [194-203]; IPI00293665 IPI:IPI00293665.6 [194-203]</t>
  </si>
  <si>
    <t>[K].YEELQQTAGR.[H]</t>
  </si>
  <si>
    <t>IPI00009867 IPI:IPI00009867.2 [365-374]</t>
  </si>
  <si>
    <t>IPI00293665 IPI:IPI00293665.6</t>
  </si>
  <si>
    <t>SWISS-PROT:P04259 REFSEQ_NP:NP_005546|ENSEMBL:ENSP00000252252 Tax_Id=9606 Keratin, type II cytoskeletal 6B</t>
  </si>
  <si>
    <t>[K].ADTLTDEINFLR.[A]</t>
  </si>
  <si>
    <t>IPI00479403 IPI:IPI00479403.2; IPI00293665 IPI:IPI00293665.6</t>
  </si>
  <si>
    <t>IPI00479403 IPI:IPI00479403.2 [287-298]; IPI00293665 IPI:IPI00293665.6 [287-298]</t>
  </si>
  <si>
    <t>[R].AEAESWYQTK.[Y]</t>
  </si>
  <si>
    <t>IPI00479403 IPI:IPI00479403.2 [349-358]; IPI00293665 IPI:IPI00293665.6 [349-358]</t>
  </si>
  <si>
    <t>[R].ATGGGLSSVGGGSSTIK.[Y]</t>
  </si>
  <si>
    <t>IPI00293665 IPI:IPI00293665.6 [533-549]</t>
  </si>
  <si>
    <t>[KR].EYQELMNVK.[L]</t>
  </si>
  <si>
    <t>IPI00479403 IPI:IPI00479403.2 [446-454]; IPI00293665 IPI:IPI00293665.6 [446-454]</t>
  </si>
  <si>
    <t>[R].GSGGLGGACGGAGFGSR.[S]</t>
  </si>
  <si>
    <t>1xCarbamidomethyl [C9]</t>
  </si>
  <si>
    <t>IPI00479403 IPI:IPI00479403.2 [42-58]; IPI00293665 IPI:IPI00293665.6 [42-58]</t>
  </si>
  <si>
    <t>[R].ISIGGGSCAISGGYGSR.[A]</t>
  </si>
  <si>
    <t>1xCarbamidomethyl [C8]</t>
  </si>
  <si>
    <t>IPI00479403 IPI:IPI00479403.2 [69-85]; IPI00293665 IPI:IPI00293665.6 [69-85]</t>
  </si>
  <si>
    <t>[R].NMQDLVEDLK.[N]</t>
  </si>
  <si>
    <t>IPI00293665 IPI:IPI00293665.6 [240-249]</t>
  </si>
  <si>
    <t>[K].QEIAEINR.[M]</t>
  </si>
  <si>
    <t>IPI00479403 IPI:IPI00479403.2 [378-385]; IPI00293665 IPI:IPI00293665.6 [378-385]</t>
  </si>
  <si>
    <t>[R].SGFSSISVSR.[S]</t>
  </si>
  <si>
    <t>IPI00479403 IPI:IPI00479403.2 [30-39]; IPI00293665 IPI:IPI00293665.6 [30-39]</t>
  </si>
  <si>
    <t>[R].TAAENEFVTLK.[K]</t>
  </si>
  <si>
    <t>IPI00479403 IPI:IPI00479403.2 [260-270]; IPI00293665 IPI:IPI00293665.6 [260-270]</t>
  </si>
  <si>
    <t>[K].YEELQVTAGR.[H]</t>
  </si>
  <si>
    <t>IPI00479403 IPI:IPI00479403.2 [359-368]; IPI00293665 IPI:IPI00293665.6 [359-368]</t>
  </si>
  <si>
    <t>IPI00479403 IPI:IPI00479403.2</t>
  </si>
  <si>
    <t>SWISS-PROT:P48666 REFSEQ_NP:NP_490596 Tax_Id=9606 Keratin, type II cytoskeletal 6C</t>
  </si>
  <si>
    <t>[R].AIGGGLSSVGGGSSTIK.[Y]</t>
  </si>
  <si>
    <t>IPI00479403 IPI:IPI00479403.2 [533-549]</t>
  </si>
  <si>
    <t>[R].GMQDLVEDFK.[N]</t>
  </si>
  <si>
    <t>IPI00479403 IPI:IPI00479403.2 [240-249]</t>
  </si>
  <si>
    <t>IPI00217963 IPI:IPI00217963.2</t>
  </si>
  <si>
    <t>SWISS-PROT:P08779 TREMBL:Q16195|REFSEQ_NP:NP_005548|ENSEMBL:ENSP00000301653 Tax_Id=9606 Keratin, type I cytoskeletal 16</t>
  </si>
  <si>
    <t>[R].APSTYGGGLSVSSR.[F]</t>
  </si>
  <si>
    <t>IPI00217963 IPI:IPI00217963.2 [41-54]</t>
  </si>
  <si>
    <t>[R].DAETWFLSK.[T]</t>
  </si>
  <si>
    <t>IPI00217963 IPI:IPI00217963.2 [302-310]</t>
  </si>
  <si>
    <t>[K].EVASNSELVQSSR.[S]</t>
  </si>
  <si>
    <t>IPI00217963 IPI:IPI00217963.2 [317-329]</t>
  </si>
  <si>
    <t>[R].ILNEMRDQYEQMAEK.[N]</t>
  </si>
  <si>
    <t>2xOxidation [M5; M12]</t>
  </si>
  <si>
    <t>IPI00217963 IPI:IPI00217963.2 [284-298]</t>
  </si>
  <si>
    <t>[R].QTVEADVNGLR.[R]</t>
  </si>
  <si>
    <t>IPI00217963 IPI:IPI00217963.2 [213-223]</t>
  </si>
  <si>
    <t>[R].SEVTELR.[R]</t>
  </si>
  <si>
    <t>IPI00217963 IPI:IPI00217963.2 [330-336]</t>
  </si>
  <si>
    <t>IPI00450768 IPI:IPI00450768.4</t>
  </si>
  <si>
    <t>SWISS-PROT:Q04695 TREMBL:Q6IP98;Q14666|REFSEQ_NP:NP_000413|ENSEMBL:ENSP00000319235|H-INV:HIT000035527 Tax_Id=9606 Keratin, type I cytoskeletal 17</t>
  </si>
  <si>
    <t>[K].ASLEGNLAETENR.[Y]</t>
  </si>
  <si>
    <t>IPI00450768 IPI:IPI00450768.4 [321-333]</t>
  </si>
  <si>
    <t>YBL034C</t>
  </si>
  <si>
    <t>STU1 SGDID:S000000130, Chr II from 158392-153851, reverse complement, Verified ORF, "Component of the mitotic spindle that binds to interpolar microtubules via its association with beta-tubulin (Tub2p); required for interpolar microtubules to provide an outward force on the spindle poles"</t>
  </si>
  <si>
    <t>cell cycle OR cell proliferation;cell organization and biogenesis;other biological processes</t>
  </si>
  <si>
    <t>cytoskeleton;nucleus;other cell component</t>
  </si>
  <si>
    <t>Pf12348</t>
  </si>
  <si>
    <t>852246</t>
  </si>
  <si>
    <t>A0A8H4F7N2; D6VPW5; N1P8Z8; P38198; sce:YBL034C; YBL034C</t>
  </si>
  <si>
    <t>STU1</t>
  </si>
  <si>
    <t>[K].ELLLTSQQSSSAPK.[F]</t>
  </si>
  <si>
    <t>YBL034C [784-797]</t>
  </si>
  <si>
    <t>[R].ESSVSFTPIDNK.[K]</t>
  </si>
  <si>
    <t>YBL034C [999-1010]</t>
  </si>
  <si>
    <t>[K].FNDASFPAQIK.[D]</t>
  </si>
  <si>
    <t>YBL034C [765-775]</t>
  </si>
  <si>
    <t>[K].GISDSQTTVR.[E]</t>
  </si>
  <si>
    <t>YBL034C [516-525]</t>
  </si>
  <si>
    <t>[K].LAQEFR.[D]</t>
  </si>
  <si>
    <t>YBL034C [1382-1387]</t>
  </si>
  <si>
    <t>[K].LPQLSNNLSSK.[D]</t>
  </si>
  <si>
    <t>YBL034C [294-304]</t>
  </si>
  <si>
    <t>[K].NLLSSTK.[K]</t>
  </si>
  <si>
    <t>YBL034C [422-428]</t>
  </si>
  <si>
    <t>[R].SGTNDLMPK.[I]</t>
  </si>
  <si>
    <t>YBL034C [922-930]</t>
  </si>
  <si>
    <t>[K].TSLLEQK.[R]</t>
  </si>
  <si>
    <t>YBL034C [601-607]</t>
  </si>
  <si>
    <t>[K].VEDIISR.[E]</t>
  </si>
  <si>
    <t>YBL034C [992-998]</t>
  </si>
  <si>
    <t>IPI00290857 IPI:IPI00290857.1</t>
  </si>
  <si>
    <t>SWISS-PROT:P12035 TREMBL:Q701L8|REFSEQ_NP:NP_476429|ENSEMBL:ENSP00000312206 Tax_Id=9606 Keratin, type II cytoskeletal 3</t>
  </si>
  <si>
    <t>[K].AEAEALYQTK.[VFLCI]</t>
  </si>
  <si>
    <t>IPI00290078 IPI:IPI00290078.2; IPI00290857 IPI:IPI00290857.1; IPI00166205 IPI:IPI00166205.2; IPI00061200 IPI:IPI00061200.1</t>
  </si>
  <si>
    <t>IPI00290078 IPI:IPI00290078.2 [412-421]; IPI00290857 IPI:IPI00290857.1 [387-396]; IPI00166205 IPI:IPI00166205.2 [298-307]; IPI00061200 IPI:IPI00061200.1 [317-326]</t>
  </si>
  <si>
    <t>[K].FSQSSQSSQR.[Y]</t>
  </si>
  <si>
    <t>IPI00290857 IPI:IPI00290857.1 [617-626]</t>
  </si>
  <si>
    <t>[K].LGELQTTAGR.[H]</t>
  </si>
  <si>
    <t>IPI00290857 IPI:IPI00290857.1; IPI00008359 IPI:IPI00008359.1</t>
  </si>
  <si>
    <t>IPI00290857 IPI:IPI00290857.1 [397-406]; IPI00008359 IPI:IPI00008359.1 [380-389]</t>
  </si>
  <si>
    <t>[RK].SKAEAEALYQTK.[VFLCI]</t>
  </si>
  <si>
    <t>IPI00290078 IPI:IPI00290078.2; IPI00290857 IPI:IPI00290857.1; IPI00061200 IPI:IPI00061200.1</t>
  </si>
  <si>
    <t>IPI00290078 IPI:IPI00290078.2 [410-421]; IPI00290857 IPI:IPI00290857.1 [385-396]; IPI00061200 IPI:IPI00061200.1 [315-326]</t>
  </si>
  <si>
    <t>[K].TSGGGSQGFSGR.[S]</t>
  </si>
  <si>
    <t>IPI00290857 IPI:IPI00290857.1 [8-19]</t>
  </si>
  <si>
    <t>IPI00009866 IPI:IPI00009866.5</t>
  </si>
  <si>
    <t>SWISS-PROT:P13646 TREMBL:Q53G54;Q6AZK5|REFSEQ_NP:NP_705694|ENSEMBL:ENSP00000246635|H-INV:HIT000031075 Tax_Id=9606 Keratin, type I cytoskeletal 13</t>
  </si>
  <si>
    <t>cell organization and biogenesis;stress response;other biological processes</t>
  </si>
  <si>
    <t>other molecular function</t>
  </si>
  <si>
    <t>3860</t>
  </si>
  <si>
    <t>hsa:3860; IPI00009866 IPI:IPI00009866.5; P13646; Q53G54; Q6AZK5; Q8N240</t>
  </si>
  <si>
    <t>ENSG00000171401</t>
  </si>
  <si>
    <t>KRT13</t>
  </si>
  <si>
    <t>Vitamin D receptor pathway</t>
  </si>
  <si>
    <t>[R].EQYEAMAER.[N]</t>
  </si>
  <si>
    <t>IPI00009866 IPI:IPI00009866.5 [279-287]</t>
  </si>
  <si>
    <t>[K].ILTATIENNR.[V]</t>
  </si>
  <si>
    <t>IPI00009866 IPI:IPI00009866.5 [166-175]</t>
  </si>
  <si>
    <t>[K].MIGFPSSAGSVSPR.[S]</t>
  </si>
  <si>
    <t>IPI00009866 IPI:IPI00009866.5 [416-429]</t>
  </si>
  <si>
    <t>[K].TEITELR.[R]</t>
  </si>
  <si>
    <t>IPI00009866 IPI:IPI00009866.5 [319-325]</t>
  </si>
  <si>
    <t>[R].VLDELTLSK.[T]</t>
  </si>
  <si>
    <t>IPI00009866 IPI:IPI00009866.5 [214-222]</t>
  </si>
  <si>
    <t>IPI00061200 IPI:IPI00061200.1</t>
  </si>
  <si>
    <t>TREMBL:Q96DU2 REFSEQ_NP:NP_258259|ENSEMBL:ENSP00000267119 Tax_Id=9606 Keratin 6 irs</t>
  </si>
  <si>
    <t>bone, tooth or skin structural activity</t>
  </si>
  <si>
    <t>Pf00038, Pf16208</t>
  </si>
  <si>
    <t>112802</t>
  </si>
  <si>
    <t>B3KVC1; hsa:112802; IPI00061200 IPI:IPI00061200.1; Q3SY84; Q3SY85; Q96DU2</t>
  </si>
  <si>
    <t>ENSG00000139648</t>
  </si>
  <si>
    <t>KRT71</t>
  </si>
  <si>
    <t>[R].DVVEDYKK.[R]</t>
  </si>
  <si>
    <t>IPI00061200 IPI:IPI00061200.1 [211-218]</t>
  </si>
  <si>
    <t>[R].FLEQQNQVLETK.[W]</t>
  </si>
  <si>
    <t>IPI00061200 IPI:IPI00061200.1; IPI00103481 IPI:IPI00103481.1</t>
  </si>
  <si>
    <t>IPI00061200 IPI:IPI00061200.1 [150-161]; IPI00103481 IPI:IPI00103481.1 [145-156]</t>
  </si>
  <si>
    <t>[K].FQELQLAAGR.[H]</t>
  </si>
  <si>
    <t>IPI00061200 IPI:IPI00061200.1 [327-336]</t>
  </si>
  <si>
    <t>[K].NEISELTR.[L]</t>
  </si>
  <si>
    <t>IPI00061200 IPI:IPI00061200.1 [346-353]</t>
  </si>
  <si>
    <t>[KR].YEEEINKR.[T]</t>
  </si>
  <si>
    <t>IPI00290078 IPI:IPI00290078.2; IPI00061200 IPI:IPI00061200.1</t>
  </si>
  <si>
    <t>IPI00290078 IPI:IPI00290078.2 [315-322]; IPI00061200 IPI:IPI00061200.1 [220-227]</t>
  </si>
  <si>
    <t>IPI00008359 IPI:IPI00008359.1</t>
  </si>
  <si>
    <t>SWISS-PROT:Q01546 TREMBL:Q7Z795|REFSEQ_NP:NP_056932|ENSEMBL:ENSP00000330101 Tax_Id=9606 Keratin, type II cytoskeletal 2 oral</t>
  </si>
  <si>
    <t>[K].QLDSLLGER.[G]</t>
  </si>
  <si>
    <t>IPI00008359 IPI:IPI00008359.1 [244-252]</t>
  </si>
  <si>
    <t>[K].SMQDLVEDFK.[K]</t>
  </si>
  <si>
    <t>IPI00008359 IPI:IPI00008359.1 [261-270]</t>
  </si>
  <si>
    <t>[R].TQYEEIAQR.[S]</t>
  </si>
  <si>
    <t>IPI00008359 IPI:IPI00008359.1 [359-367]</t>
  </si>
  <si>
    <t>IPI00431749 IPI:IPI00431749.1</t>
  </si>
  <si>
    <t>TREMBL:Q6P1A5;Q6KB66 Tax_Id=9606 Keratin b20</t>
  </si>
  <si>
    <t>[R].APGPGFSSR.[S]</t>
  </si>
  <si>
    <t>IPI00431749 IPI:IPI00431749.1 [36-44]</t>
  </si>
  <si>
    <t>[R].KLVEGEEGR.[M]</t>
  </si>
  <si>
    <t>IPI00431749 IPI:IPI00431749.1 [385-393]</t>
  </si>
  <si>
    <t>[KR].LQEELR.[K]</t>
  </si>
  <si>
    <t>IPI00431749 IPI:IPI00431749.1 [139-144]</t>
  </si>
  <si>
    <t>[K].LVEGEEGR.[M]</t>
  </si>
  <si>
    <t>IPI00431749 IPI:IPI00431749.1 [386-393]</t>
  </si>
  <si>
    <t>[R].NQLLETR.[W]</t>
  </si>
  <si>
    <t>IPI00431749 IPI:IPI00431749.1 [108-114]</t>
  </si>
  <si>
    <t>[R].SEIADLNVR.[I]</t>
  </si>
  <si>
    <t>IPI00431749 IPI:IPI00431749.1 [297-305]</t>
  </si>
  <si>
    <t>[R].SLEEAEAYSR.[S]</t>
  </si>
  <si>
    <t>IPI00431749 IPI:IPI00431749.1 [266-275]</t>
  </si>
  <si>
    <t>[R].SQLEEQAAR.[S]</t>
  </si>
  <si>
    <t>IPI00431749 IPI:IPI00431749.1 [276-284]</t>
  </si>
  <si>
    <t>[R].SQILSVK.[S]</t>
  </si>
  <si>
    <t>IPI00431749 IPI:IPI00431749.1 [311-317]</t>
  </si>
  <si>
    <t>[K].TIYEQELK.[D]</t>
  </si>
  <si>
    <t>IPI00431749 IPI:IPI00431749.1 [218-225]</t>
  </si>
  <si>
    <t>[K].VQALEQR.[N]</t>
  </si>
  <si>
    <t>IPI00431749 IPI:IPI00431749.1 [101-107]</t>
  </si>
  <si>
    <t>IPI00376379 IPI:IPI00376379.1</t>
  </si>
  <si>
    <t>SWISS-PROT:Q7Z794 REFSEQ_NP:NP_778253|ENSEMBL:ENSP00000342710 Tax_Id=9606 Keratin 1B</t>
  </si>
  <si>
    <t>[R].EQIMVLNNK.[F]</t>
  </si>
  <si>
    <t>1xOxidation [M4]</t>
  </si>
  <si>
    <t>IPI00376379 IPI:IPI00376379.1 [166-174]</t>
  </si>
  <si>
    <t>[R].LQAEISNVK.[K]</t>
  </si>
  <si>
    <t>IPI00376379 IPI:IPI00376379.1 [392-400]</t>
  </si>
  <si>
    <t>[K].MEIAELNR.[T]</t>
  </si>
  <si>
    <t>IPI00376379 IPI:IPI00376379.1 [380-387]</t>
  </si>
  <si>
    <t>[R].QLLEGEESR.[M]</t>
  </si>
  <si>
    <t>IPI00376379 IPI:IPI00376379.1 [468-476]</t>
  </si>
  <si>
    <t>[R].QVDLLSAEQMR.[Q]</t>
  </si>
  <si>
    <t>IPI00376379 IPI:IPI00376379.1 [225-235]</t>
  </si>
  <si>
    <t>[R].SLYNLGGSR.[S]</t>
  </si>
  <si>
    <t>IPI00376379 IPI:IPI00376379.1 [60-68]</t>
  </si>
  <si>
    <t>[R].SMQDVVEDYK.[S]</t>
  </si>
  <si>
    <t>IPI00376379 IPI:IPI00376379.1 [242-251]</t>
  </si>
  <si>
    <t>[R].TGSENDFVVLK.[K]</t>
  </si>
  <si>
    <t>IPI00376379 IPI:IPI00376379.1 [262-272]</t>
  </si>
  <si>
    <t>[R].VDTLTGEVNFLK.[Y]</t>
  </si>
  <si>
    <t>IPI00376379 IPI:IPI00376379.1 [289-300]</t>
  </si>
  <si>
    <t>IPI00290078 IPI:IPI00290078.2</t>
  </si>
  <si>
    <t>SWISS-PROT:P19013 TREMBL:Q6PIN2;Q9BTL1;Q6GTR8;Q9UEK9|REFSEQ_NP:NP_002263|ENSEMBL:ENSP00000293774|H-INV:HIT000018587;HIT000022952;HIT000012868 Tax_Id=9606 Keratin, type II cytoskeletal 4</t>
  </si>
  <si>
    <t>[R].EYQELMSVK.[L]</t>
  </si>
  <si>
    <t>IPI00290078 IPI:IPI00290078.2 [509-517]</t>
  </si>
  <si>
    <t>[K].SEIAELNR.[M]</t>
  </si>
  <si>
    <t>IPI00290078 IPI:IPI00290078.2 [441-448]</t>
  </si>
  <si>
    <t>[K].TMQDSVEDFK.[T]</t>
  </si>
  <si>
    <t>IPI00290078 IPI:IPI00290078.2 [303-312]</t>
  </si>
  <si>
    <t>TRYP_PIG</t>
  </si>
  <si>
    <t>protein metabolism;other biological processes</t>
  </si>
  <si>
    <t>non-structural extracellular</t>
  </si>
  <si>
    <t>Pf00089</t>
  </si>
  <si>
    <t>[R].LGEHNIDVLEGNEQFINAAK.[I]</t>
  </si>
  <si>
    <t>sp [58-77]</t>
  </si>
  <si>
    <t>[K].IITHPNFNGNTLDNDIMLIK.[L]</t>
  </si>
  <si>
    <t>1xOxidation [M17]</t>
  </si>
  <si>
    <t>sp [78-97]</t>
  </si>
  <si>
    <t>[K].LSSPATLNSR.[V]</t>
  </si>
  <si>
    <t>sp [98-107]</t>
  </si>
  <si>
    <t>[R].VATVSLPR.[S]</t>
  </si>
  <si>
    <t>sp [108-115]</t>
  </si>
  <si>
    <t>IPI00290077 IPI:IPI00290077.1</t>
  </si>
  <si>
    <t>SWISS-PROT:P19012 Tax_Id=9606 Keratin, type I cytoskeletal 15</t>
  </si>
  <si>
    <t>[R].CEMEAQNQEYK.[M]</t>
  </si>
  <si>
    <t>IPI00290077 IPI:IPI00290077.1 [380-390]</t>
  </si>
  <si>
    <t>IPI00166205 IPI:IPI00166205.2</t>
  </si>
  <si>
    <t>TREMBL:Q7RTT2 ENSEMBL:ENSP00000352479 Tax_Id=9606 Keratin 5b</t>
  </si>
  <si>
    <t>[K].DVDGVFLSK.[M]</t>
  </si>
  <si>
    <t>IPI00166205 IPI:IPI00166205.2 [221-229]</t>
  </si>
  <si>
    <t>[K].QLEQLQGER.[G]</t>
  </si>
  <si>
    <t>IPI00166205 IPI:IPI00166205.2 [172-180]</t>
  </si>
  <si>
    <t>[R].TQETQEIR.[T]</t>
  </si>
  <si>
    <t>IPI00166205 IPI:IPI00166205.2 [109-116]</t>
  </si>
  <si>
    <t>[K].VDELEAALR.[M]</t>
  </si>
  <si>
    <t>IPI00166205 IPI:IPI00166205.2 [376-384]</t>
  </si>
  <si>
    <t>IPI00103481 IPI:IPI00103481.1</t>
  </si>
  <si>
    <t>TREMBL:Q8WWY9;Q8WWZ0;Q8NA87 REFSEQ_NP:NP_542785|ENSEMBL:ENSP00000293745|H-INV:HIT000017927 Tax_Id=9606 Keratin protein K6irs</t>
  </si>
  <si>
    <t>140807</t>
  </si>
  <si>
    <t>B4DEI8; H9KV51; hsa:140807; IPI00103481 IPI:IPI00103481.1; Q14CN4; Q8NA87; Q8WWY9; Q8WWZ0</t>
  </si>
  <si>
    <t>ENSG00000170486</t>
  </si>
  <si>
    <t>KRT72</t>
  </si>
  <si>
    <t>[R].AQYEEIALK.[S]</t>
  </si>
  <si>
    <t>IPI00103481 IPI:IPI00103481.1 [301-309]</t>
  </si>
  <si>
    <t>IPI00328103 IPI:IPI00328103.1</t>
  </si>
  <si>
    <t>TREMBL:Q7Z3Y8 REFSEQ_NP:NP_853515|ENSEMBL:ENSP00000301656 Tax_Id=9606 Type I inner root sheath specific keratin 25 irs3</t>
  </si>
  <si>
    <t>[R].AEYEALAEQNR.[R]</t>
  </si>
  <si>
    <t>IPI00328103 IPI:IPI00328103.1 [262-272]</t>
  </si>
  <si>
    <t>[R].ALEEANADLEQK.[I]</t>
  </si>
  <si>
    <t>IPI00328103 IPI:IPI00328103.1 [104-115]</t>
  </si>
  <si>
    <t>[R].LTADDFR.[L]</t>
  </si>
  <si>
    <t>IPI00328103 IPI:IPI00328103.1 [168-174]</t>
  </si>
  <si>
    <t>CAS2_BOVIN</t>
  </si>
  <si>
    <t>stress response;other biological processes</t>
  </si>
  <si>
    <t>non-structural extracellular;ER/Golgi</t>
  </si>
  <si>
    <t>Pf00363</t>
  </si>
  <si>
    <t>109560546; 282209</t>
  </si>
  <si>
    <t>A0A4W2DUG8; A0A6P5BZ34; biu:109560546; bta:282209; P02663; Q1RMQ6; Q9TR51; sp</t>
  </si>
  <si>
    <t>ENSBIXG00000025508; ENSBIXG00005028072; ENSBTAG00000005005</t>
  </si>
  <si>
    <t>CSN1S2; LOC109560546; LOC113894643</t>
  </si>
  <si>
    <t>Phospho [S158(99.1)]</t>
  </si>
  <si>
    <t>[K].TKLTEEEKNR.[L]</t>
  </si>
  <si>
    <t>sp [166-175]</t>
  </si>
  <si>
    <t>[K].TVDMESTEVFTK.[K]</t>
  </si>
  <si>
    <t>1xOxidation [M4]; 1xPhospho [S/T]</t>
  </si>
  <si>
    <t>sp [153-164]</t>
  </si>
  <si>
    <t>[K].TVDMESTEVFTKK.[T]</t>
  </si>
  <si>
    <t>1xOxidation [M4]; 1xPhospho [S6(99.1)]</t>
  </si>
  <si>
    <t>sp [153-165]</t>
  </si>
  <si>
    <t>sp 1xPhospho [S158(99.1)]</t>
  </si>
  <si>
    <t>LYSC_HUMAN</t>
  </si>
  <si>
    <t>other metabolic processes;stress response;other biological processes</t>
  </si>
  <si>
    <t>non-structural extracellular;other cytoplasmic organelle;other cell component</t>
  </si>
  <si>
    <t>Pf00062</t>
  </si>
  <si>
    <t>100970943; 4069; 450190</t>
  </si>
  <si>
    <t>A0A2J8K4P0; B2R4C5; hsa:4069; P00695; P61626; P61627; P61628; pps:100970943; ptr:450190; Q13170; Q9UCF8; sp</t>
  </si>
  <si>
    <t>ENSG00000090382; ENSPPAG00000038937; ENSPTRG00000029654</t>
  </si>
  <si>
    <t>LYZ; LYZF1</t>
  </si>
  <si>
    <t>Amyloid fiber formation; Neutrophil degranulation; Antimicrobial peptides</t>
  </si>
  <si>
    <t>Macrophage markers</t>
  </si>
  <si>
    <t>[R].ATNYNAGDR.[S]</t>
  </si>
  <si>
    <t>sp [60-68]</t>
  </si>
  <si>
    <t>[R].STDYGIFQINSR.[Y]</t>
  </si>
  <si>
    <t>sp [69-80]</t>
  </si>
  <si>
    <t>TRFL_HUMAN</t>
  </si>
  <si>
    <t>protein metabolism;stress response;transport;developmental processes;other biological processes</t>
  </si>
  <si>
    <t>non-structural extracellular;plasma membrane;other membranes;other cytoplasmic organelle;other cell component</t>
  </si>
  <si>
    <t>enzyme regulator activity;nucleic acid binding activity;other molecular function</t>
  </si>
  <si>
    <t>Pf00405</t>
  </si>
  <si>
    <t>4057</t>
  </si>
  <si>
    <t>A8K9U8; B2MV13; B7Z4X2; E7EQH5; hsa:4057; O00756; P02788; Q16780; Q16785; Q16786; Q16789; Q5DSM0; Q8IU92; Q8IZH6; Q8TCD2; Q96KZ4; Q96KZ5; Q9H1Z3; Q9UCY5; sp; V9HWI4</t>
  </si>
  <si>
    <t>ENSG00000012223</t>
  </si>
  <si>
    <t>HEL110; LTF</t>
  </si>
  <si>
    <t>Amyloid fiber formation; Neutrophil degranulation; Mtb iron assimilation by chelation; Metal sequestration by antimicrobial proteins</t>
  </si>
  <si>
    <t>Male infertility</t>
  </si>
  <si>
    <t>[R].DGAGDVAFIR.[E]</t>
  </si>
  <si>
    <t>sp [220-229]</t>
  </si>
  <si>
    <t>[K].DSAIGFSR.[V]</t>
  </si>
  <si>
    <t>sp [321-328]</t>
  </si>
  <si>
    <t>[K].GEADAMSLDGGYVYTAGK.[C]</t>
  </si>
  <si>
    <t>sp [406-423]</t>
  </si>
  <si>
    <t>[R].VPSHAVVAR.[S]</t>
  </si>
  <si>
    <t>sp [269-277]</t>
  </si>
  <si>
    <t>YGR240C</t>
  </si>
  <si>
    <t>PFK1 SGDID:S000003472, Chr VII from 973739-970776, reverse complement, Verified ORF, "Alpha subunit of heterooctameric phosphofructokinase involved in glycolysis, indispensable for anaerobic growth, activated by fructose-2,6-bisphosphate and AMP, mutation inhibits glucose induction of cell cycle-related genes"</t>
  </si>
  <si>
    <t>other metabolic processes;transport;other biological processes</t>
  </si>
  <si>
    <t>other membranes;cytosol;mitochondrion;other cell component</t>
  </si>
  <si>
    <t>transporter activity;kinase activity;other molecular function</t>
  </si>
  <si>
    <t>Pf00365, Pf18468</t>
  </si>
  <si>
    <t>853155</t>
  </si>
  <si>
    <t>A0A0L8VQI3; A0A6A5PWC4; A6ZUP8; B3LI00; D6VV20; N1P2M1; P16861; sce:YGR240C; YGR240C</t>
  </si>
  <si>
    <t>PFK1</t>
  </si>
  <si>
    <t>Neutrophil degranulation; Glycolysis</t>
  </si>
  <si>
    <t>[R].AEVAALAAENK.[-]</t>
  </si>
  <si>
    <t>YGR240C [977-987]</t>
  </si>
  <si>
    <t>[K].IAVMTSGGDSPGMNAAVR.[A]</t>
  </si>
  <si>
    <t>2xOxidation [M4; M13]</t>
  </si>
  <si>
    <t>YGR240C [208-225]</t>
  </si>
  <si>
    <t>[K].IGDILSGR.[L]</t>
  </si>
  <si>
    <t>YGR240C [965-972]</t>
  </si>
  <si>
    <t>YFL039C</t>
  </si>
  <si>
    <t>ACT1 SGDID:S000001855, Chr VI from 54695-54686,54377-53260, reverse complement, Verified ORF, "Actin, structural protein involved in cell polarization, endocytosis, and other cytoskeletal functions"</t>
  </si>
  <si>
    <t>cell cycle OR cell proliferation;cell organization and biogenesis;protein metabolism;DNA metabolism;RNA metabolism OR transcription;other metabolic processes;stress response;transport;other biological processes</t>
  </si>
  <si>
    <t>non-structural extracellular;extracellular matrix;cytosol;cytoskeleton;nucleus;other cell component</t>
  </si>
  <si>
    <t>Pf00022</t>
  </si>
  <si>
    <t>11500271; 2890423; 850504</t>
  </si>
  <si>
    <t>A0A0L8VR24; A0A0W0CRE1; A0A6C1DSX3; A0A7G3ZE75; A0A7H9B2J7; A0A8B8UQK9; A7A200; B3LUH2; C8Z7P3; cgr:CAGL0K12694g; D6VTJ1; G2WDA2; G8ZQZ4; N1PA17; P02579; P60009; P60010; P60011; Q6FLX6; Q7Z9T8; Q9P3X6; Q9P3X7; sce:YFL039C; tdl:TDEL_0C00470; YFL039C</t>
  </si>
  <si>
    <t>ACT1; ACT1_1; K7_ACT1; TDEL0C00470</t>
  </si>
  <si>
    <t>Platelet degranulation ; RHOBTB2 GTPase cycle; RHOA GTPase cycle; Regulation of actin dynamics for phagocytic cup formation; RHO GTPases activate IQGAPs; RHO GTPases Activate WASPs and WAVEs</t>
  </si>
  <si>
    <t>[K].AGFAGDDAPR.[A]</t>
  </si>
  <si>
    <t>YFL039C [19-28]</t>
  </si>
  <si>
    <t>[K].SYELPDGQVITIGNER.[F]</t>
  </si>
  <si>
    <t>YFL039C [239-254]</t>
  </si>
  <si>
    <t>YER043C</t>
  </si>
  <si>
    <t>SAH1 SGDID:S000000845, Chr V from 237118-235769, reverse complement, Verified ORF, "S-adenosyl-L-homocysteine hydrolase, catabolizes S-adenosyl-L-homocysteine which is formed after donation of the activated methyl group of S-adenosyl-L-methionine (AdoMet) to an acceptor"</t>
  </si>
  <si>
    <t>other metabolic processes</t>
  </si>
  <si>
    <t>cytosol</t>
  </si>
  <si>
    <t>Pf00670, Pf05221</t>
  </si>
  <si>
    <t>856766</t>
  </si>
  <si>
    <t>A0A0L8VS09; A0A6A5PY71; A0A6C1DQI8; A6ZQZ2; B3LS56; B5VHH7; C7GSJ0; C8Z746; D3DLU3; G2WCS6; H0GF30; N1P540; P39954; sce:YER043C; YER043C</t>
  </si>
  <si>
    <t>K7_SAH1; SAH1; SAH1_1</t>
  </si>
  <si>
    <t>Methylation; Sulfur amino acid metabolism</t>
  </si>
  <si>
    <t>[R].ATDVMLAGK.[V]</t>
  </si>
  <si>
    <t>YER043C [209-217]</t>
  </si>
  <si>
    <t>[K].VPAINVNDSVTK.[S]</t>
  </si>
  <si>
    <t>YER043C [178-189]</t>
  </si>
  <si>
    <t>K1H6_HUMAN</t>
  </si>
  <si>
    <t>8689</t>
  </si>
  <si>
    <t>hsa:8689; O76013; Q86XG4; sp</t>
  </si>
  <si>
    <t>ENSG00000126337</t>
  </si>
  <si>
    <t>KRT36</t>
  </si>
  <si>
    <t>[R].ENAELESR.[I]</t>
  </si>
  <si>
    <t>sp [117-124]</t>
  </si>
  <si>
    <t>CAS1_BOVIN</t>
  </si>
  <si>
    <t>other biological processes</t>
  </si>
  <si>
    <t>282208</t>
  </si>
  <si>
    <t>A0A4W2EWY4; A5YK80; A8WCP1; A8WCP2; A8WCP3; A8WCP4; A8WCP5; A8WCP6; A8WCP7; A8WCP8; A8WCP9; A8WCQ0; A8WCQ1; A8WCQ2; A8WCQ3; A8WCQ4; A8WCQ5; A8WCQ6; A8WCQ7; A8WCQ8; A8WCQ9; A8WCR0; A8WCR1; A8WCR2; A8WCR3; A8WCR4; A8WCR5; A8WCR6; A8WCR7; A8WCR8; A8WCR9; A8WCS0; A8WCS1; bta:282208; P02662; Q28048; Q28069; Q32LE8; Q7M2U6; Q9TRH5; sp</t>
  </si>
  <si>
    <t>ENSBIXG00000025519; ENSBTAG00000007695</t>
  </si>
  <si>
    <t>CSN1S1</t>
  </si>
  <si>
    <t>Miscellaneous transport and binding events</t>
  </si>
  <si>
    <t>[K].EDVPSER.[Y]</t>
  </si>
  <si>
    <t>sp [99-105]</t>
  </si>
  <si>
    <t>[K].HIQKEDVPSER.[Y]</t>
  </si>
  <si>
    <t>sp [95-105]</t>
  </si>
  <si>
    <t>K2M3_SHEEP</t>
  </si>
  <si>
    <t>cytoskeleton</t>
  </si>
  <si>
    <t>[K].AQYDDIASR.[S]</t>
  </si>
  <si>
    <t>sp; sp</t>
  </si>
  <si>
    <t>sp [294-302]; sp [296-304]</t>
  </si>
  <si>
    <t>[KR].YEEEVALR.[A]</t>
  </si>
  <si>
    <t>sp [210-217]</t>
  </si>
  <si>
    <t>CASK_BOVIN</t>
  </si>
  <si>
    <t>transport;other biological processes</t>
  </si>
  <si>
    <t>Pf00997</t>
  </si>
  <si>
    <t>281728</t>
  </si>
  <si>
    <t>bta:281728; O46566; P02668; Q597F3; Q6U205; Q9N271; Q9TRQ3; Q9TV96; Q9TV97; sp</t>
  </si>
  <si>
    <t>CSN3</t>
  </si>
  <si>
    <t>[K].SCQAQPTTMAR.[H]</t>
  </si>
  <si>
    <t>1xCarbamidomethyl [C2]; 1xOxidation [M9]</t>
  </si>
  <si>
    <t>sp [108-118]</t>
  </si>
  <si>
    <t>CATD_HUMAN</t>
  </si>
  <si>
    <t>cell organization and biogenesis;protein metabolism;other metabolic processes;other biological processes</t>
  </si>
  <si>
    <t>non-structural extracellular;other membranes;other cytoplasmic organelle;other cell component</t>
  </si>
  <si>
    <t>Pf00026, Pf07966</t>
  </si>
  <si>
    <t>1509</t>
  </si>
  <si>
    <t>hsa:1509; P07339; Q6IB57; sp; V9HWI3</t>
  </si>
  <si>
    <t>ENSG00000117984</t>
  </si>
  <si>
    <t>CTSD; HEL-S-130P</t>
  </si>
  <si>
    <t>Neutrophil degranulation; MHC class II antigen presentation; Collagen degradation; Estrogen-dependent gene expression; Metabolism of Angiotensinogen to Angiotensins</t>
  </si>
  <si>
    <t>Prolactin signaling pathway</t>
  </si>
  <si>
    <t>[R].DPDAQPGGELMLGGTDSK.[Y]</t>
  </si>
  <si>
    <t>sp [236-253]</t>
  </si>
  <si>
    <t>RS27A_HUMAN</t>
  </si>
  <si>
    <t>protein metabolism;other metabolic processes</t>
  </si>
  <si>
    <t>plasma membrane;other membranes;cytosol;mitochondrion;ER/Golgi;translational apparatus;nucleus;other cytoplasmic organelle;other cell component</t>
  </si>
  <si>
    <t>Pf00240, Pf01599</t>
  </si>
  <si>
    <t>100032038; 100052644; 100286787; 100394663; 100401239; 100411672; 100476697; 100514637; 100985757; 101020976; 101029100; 101059860; 101092929; 101136689; 101316708; 101361983; 101385092; 101571052; 101617079; 101674222; 101710786; 101822924; 101864869; 101962652; 102011335; 102142514; 102187139; 102420450; 102520555; 102527818; 102746286; 102746862; 102816131; 102926163; 102964668; 102976798; 103010032; 103088763; 103121632; 103194591; 103220242; 103671271; 103725707; 104856443; 104989863; 105294656; 105465049; 105521178; 105522856; 105536598; 105551330; 105576398; 105734369; 105814769; 105878428; 105986879; 106976779; 106992282; 107137278; 107519689; 108313818; 109252147; 109566084; 109681758; 286839; 444494; 454140; 474599; 548926; 6233; 718909</t>
  </si>
  <si>
    <t>A0A091CM51; A0A0D9RNT7; A0A146MG63; A0A1S3AAY3; A0A1S3FA73; A0A1U7QM01; A0A250YAH1; A0A2I3LH01; A0A2J8N3B3; A0A2J8XCR8; A0A2K5F8V0; A0A2K5H7X5; A0A2K5NW31; A0A2K5SHA2; A0A2K5XY87; A0A2K6CVZ8; A0A2K6FQ75; A0A2K6V6J1; A0A2R8MVQ0; A0A2R9B0K9; A0A2U3V5Z3; A0A2U3W6C1; A0A2U3Z815; A0A2Y9D7Q5; A0A2Y9EQZ6; A0A2Y9HZ36; A0A2Y9JKU0; A0A2Y9Q1L7; A0A340XWL7; A0A341C1S2; A0A384ARQ4; A0A384CTG1; A0A3Q7Q8U2; A0A3Q7S1H4; A0A3Q7UMZ9; A0A452EHZ1; A0A452S067; A0A485PDN9; A0A4W2EAU0; A0A4X1WDC9; A0A4X2L3R7; A0A5E4CDA8; A0A5J5MKD8; A0A5N3WWM1; A0A667GGA8; A0A671ESN2; A0A673T2A8; A0A6D2YCT5; A0A6I9INI0; A0A6I9K111; A0A6I9M5Z8; A0A6I9ZT97; A0A6J0ZC35; A0A6J2F618; A0A6J2LYK9; A0A6J3JLW9; A0A6P3EUX5; A0A6P3HLA7; A0A6P3QDM4; A0A6P4U7J4; A0A6P5CLF2; A0A6P5L159; A0A6P6IHC5; A0A7J7U6A3; A0A7J7ZFA5; A0A7J8FNF1; A0A7N5KHN5; A0A811YM75; A0A8B6YAA3; A0A8B6ZKH4; A0A8B8ZA37; A0A8C0AF80; A0A8C0LPM9; A0A8C0T835; A0A8C2QPC5; A0A8C2V9T4; A0A8C3YH23; A0A8C4PFC6; A0A8C5KX43; A0A8C5W9V5; A0A8C5Z5W7; A0A8C6BA49; A0A8C6D1G1; A0A8C6WAR5; A0A8C7AB33; A0A8C8WF85; A0A8C9C9Q1; A0A8C9DNH4; A0A8C9IBV8; A0A8C9KJ67; A0A8C9PKS8; A0A8D2D8K6; A0A8D2EMR6; A0A8D2I912; A0A8I3NFB9; A0A8J8YB85; aju:106976779; aml:100476697; B2RDW1; bacu:103010032; biu:109566084; bta:286839; caty:105576398; ccan:109681758; cfr:102520555; chx:102187139; cjc:100394663; cjc:100401239; cjc:100411672; cpoc:100286787; csab:103220242; D6W5C9; dle:111186557; dord:105986879; ecb:100052644; elk:111148109; F6Q836; F6T5K6; F7AUF0; F7AUY9; F7IMK1; fca:101092929; G1PW07; G3QXG6; G3RVB1; G5B8W4; G7NA31; ggo:101136689; H2QHX2; hgl:101710786; hsa:6233; I3MDS7; lve:103088763; M3WWF6; M3YGD4; mcc:106992282; mcc:718909; mcf:102142514; mdo:100032038; mlf:102420450; mmur:105878428; mpuf:101674222; O97577; oro:101385092; P02248; P02249; P02250; P0CG52; P14798; P62977; P62978; P62979; P62988; P62990; P62992; P80169; panu:101020976; pcad:102976798; pcw:110215064; pdic:114499254; ppad:109252147; pps:100985757; ptr:101059860; ptr:743830; pvp:105294656; Q01235; Q24K23; Q28169; Q28170; Q28FM7; Q29120; Q3T0V5; Q3ZCE3; Q4R580; Q6GMC1; Q6LBL4; Q6LDU5; Q862C1; Q862F4; Q862M4; Q862T5; Q862X8; Q8WYN8; Q91887; Q91888; Q9BQ77; Q9BWD6; Q9BX98; Q9UEF2; Q9UEG1; Q9UEK8; Q9UPK7; ray:107519689; sbq:101029100; sp; ssc:100514637; tmu:101361983; uah:113245586; umr:103671271; vpc:102527818; vvp:112915259; xla:444494; xtr:548926; zca:113930621; zca:113937178</t>
  </si>
  <si>
    <t>ENSAMEG00000004017; ENSAMEG00000026204; ENSANAG00000038191; ENSBGRG00000017422; ENSBIXG00000016897; ENSBIXG00005018073; ENSBMSG00010019536; ENSBTAG00000015473; ENSCAFG00020026537; ENSCAFG00030025194; ENSCAFG00040019985; ENSCAFG00845010792; ENSCANG00000001467; ENSCATG00000043541; ENSCCAG00000037695; ENSCCNG00000023526; ENSCGRG00001024263; ENSCHIG00000013743; ENSCJAG00000010052; ENSCJAG00000070351; ENSCJAG00000073601; ENSCLAG00000008521; ENSCPOG00000005819; ENSCSAG00000014143; ENSCWAG00000011072; ENSDLEG00000018458; ENSEASG00005000706; ENSECAG00000018773; ENSFCAG00000023939; ENSG00000143947; ENSGGOG00000007678; ENSGGOG00000041394; ENSHGLG00000009503; ENSJJAG00000016789; ENSLCNG00005004158; ENSMFAG00000037923; ENSMICG00000032298; ENSMLEG00000028306; ENSMLUG00000017064; ENSMMMG00000007526; ENSMMNG00015009978; ENSMMSG00000004050; ENSMMUG00000015563; ENSMNEG00000037303; ENSMODG00000001819; ENSMPUG00000010468; ENSNGAG00000019912; ENSNVIG00000002165; ENSPANG00000034863; ENSPCOG00000019824; ENSPCTG00005004175; ENSPEMG00000002325; ENSPLOG00000001924; ENSPPAG00000034709; ENSPPRG00000005461; ENSPSMG00000016247; ENSPSNG00000010816; ENSPTEG00000031271; ENSPTIG00000020838; ENSPTRG00000011928; ENSRFEG00010009909; ENSRFEG00010012185; ENSSBOG00000035895; ENSSDAG00000008904; ENSSSCG00005040266; ENSSSCG00025075275; ENSSSCG00030073666; ENSSSCG00035056767; ENSSSCG00045027194; ENSSSCG00065011105; ENSSSCG00070030318; ENSSSUG00005002396; ENSSTOG00000009566; ENSSVLG00005016514; ENSTGEG00000005669; ENSTGEG00000028274; ENSTTRG00000013947; ENSUAMG00000019638; ENSUMAG00000016807; ENSUPAG00010012659; ENSUPAG00010019122; ENSVURG00010014144; ENSVVUG00000009891; ENSXETG00000004519</t>
  </si>
  <si>
    <t>HEL112; LOC101361983; LOC102746862; LOC102816131; LOC111148109; LOC111534944; LOC112620074; LOC116566029; LOC118153894; rps27a; Rps27a; RPS27A; rps27a.S</t>
  </si>
  <si>
    <t>Amyloid fiber formation; FCERI mediated NF-kB activation; Downstream TCR signaling; E3 ubiquitin ligases ubiquitinate target proteins; Synthesis of active ubiquitin: roles of E1 and E2 enzymes; Antigen processing: Ubiquitination &amp; Proteasome degradation; Stimuli-sensing channels; Fanconi Anemia Pathway; Budding and maturation of HIV virion; Membrane binding and targetting of GAG proteins; Endosomal Sorting Complex Required For Transport (ESCRT); Late endosomal microautophagy; Activation of NF-kappaB in B cells; Oxygen-dependent proline hydroxylation of Hypoxia-inducible Factor Alpha; ER-Phagosome pathway;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KEAP1-NFE2L2 pathway; Aggrephagy; ISG15 antiviral mechanism; SARS-CoV-2 activates/modulates innate and adaptive immune responses; Regulation of PLK1 Activity at G2/M Transition; Activated NOTCH1 Transmits Signal to the Nucleus; Constitutive Signaling by NOTCH1 PEST Domain Mutants; Constitutive Signaling by NOTCH1 HD Domain Mutants; Constitutive Signaling by NOTCH1 HD+PEST Domain Mutants; NOTCH2 Activation and Transmission of Signal to the Nucleus; NOTCH3 Activation and Transmission of Signal to the Nucleus; Peroxisomal protein import; Regulation of TP53 Degradation; Recruitment and ATM-mediated phosphorylation of repair and signaling proteins at DNA double strand breaks; Activation of IRF3/IRF7 mediated by TBK1/IKK epsilon; IKK complex recruitment mediated by RIP1; TRAF6-mediated induction of TAK1 complex within TLR4 complex; IRAK2 mediated activation of TAK1 complex upon TLR7/8 or 9 stimulation; Autodegradation of Cdh1 by Cdh1:APC/C; SCF(Skp2)-mediated degradation of p27/p21; Assembly of the pre-replicative complex; Regulation of RUNX3 expression and activity; Negative regulation of NOTCH4 signaling; GSK3B and BTRC:CUL1-mediated-degradation of NFE2L2; ER Quality Control Compartment (ERQC); SMAD2/SMAD3:SMAD4 heterotrimer regulates transcription; Deactivation of the beta-catenin transactivating complex; Oxidative Stress Induced Senescence; Regulation of TP53 Activity through Phosphorylation;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Circadian Clock; Regulation of signaling by CBL; Metalloprotease DUBs; Major pathway of rRNA processing in the nucleolus and cytosol; Regulation of necroptotic cell death; Oncogene Induced Senescence; Cyclin D associated events in G1; APC/C:Cdc20 mediated degradation of Cyclin B; APC-Cdc20 mediated degradation of Nek2A; Senescence-Associated Secretory Phenotype (SASP); Negative regulation of FLT3; Downregulation of ERBB2:ERBB3 signaling; Cargo recognition for clathrin-mediated endocytosis; Inactivation of CSF3 (G-CSF) signaling; JNK (c-Jun kinases) phosphorylation and  activation mediated by activated human TAK1; Regulation of TP53 Activity through Methylation; Processing of DNA double-strand break ends; Regulation of BACH1 activity; SARS-CoV-2 modulates host translation machinery; NOD1/2 Signaling Pathway; TICAM1, RIP1-mediated IKK complex recruitment; p75NTR recruits signalling complexes; NF-kB is activated and signals survival; TAK1-dependent IKK and NF-kappa-B activation  ; Regulation of TNFR1 signaling; TNFR1-induced NFkappaB signaling pathway; MAP3K8 (TPL2)-dependent MAPK1/3 activation; IRAK1 recruits IKK complex; IRAK1 recruits IKK complex upon TLR7/8 or 9 stimulation; Regulation of NF-kappa B signaling; Termination of translesion DNA synthesis; Negative regulators of DDX58/IFIH1 signaling; EGFR downregulation; Negative regulation of MET activity; InlB-mediated entry of Listeria monocytogenes into host cell; Prevention of phagosomal-lysosomal fusion; Downregulation of TGF-beta receptor signaling; Downregulation of SMAD2/3:SMAD4 transcriptional activity; Nonsense Mediated Decay (NMD) enhanced by the Exon Junction Complex (EJC); HDR through Homologous Recombination (HRR); NOTCH1 Intracellular Domain Regulates Transcription; TICAM1-dependent activation of IRF3/IRF7; TICAM1,TRAF6-dependent induction of TAK1 complex; Glycogen synthesis; Formation of TC-NER Pre-Incision Complex; Dual incision in TC-NER; Gap-filling DNA repair synthesis and ligation in TC-NER; Modulation by Mtb of host immune system; activated TAK1 mediates p38 MAPK activation; IRAK2 mediated activation of TAK1 complex; SARS-CoV-1 activates/modulates innate immune responses; Alpha-protein kinase 1 signaling pathway; Ovarian tumor domain proteases; Spry regulation of FGF signaling; RAS processing; PINK1-PRKN Mediated Mitophagy; Josephin domain DUBs; Regulation of FZD by ubiquitination; Chaperone Mediated Autophagy; Translesion synthesis by REV1; Translesion synthesis by POLK; Translesion synthesis by POLI; InlA-mediated entry of Listeria monocytogenes into host cells; Formation of Incision Complex in GG-NER; Iron uptake and transport; SRP-dependent cotranslational protein targeting to membrane; Recognition of DNA damage by PCNA-containing replication complex; VLDLR internalisation and degradation; Myoclonic epilepsy of Lafora; DNA Damage Recognition in GG-NER; Constitutive Signaling by Ligand-Responsive EGFR Cancer Variants; Negative regulation of MAPK pathway; TGF-beta receptor signaling in EMT (epithelial to mesenchymal transition); NRIF signals cell death from the nucleus; Viral mRNA Translation; Assembly Of The HIV Virion; Response of EIF2AK4 (GCN2) to amino acid deficiency; Peptide chain elongation; Selenocysteine synthesis; Eukaryotic Translation Termination; Nonsense Mediated Decay (NMD) independent of the Exon Junction Complex (EJC); Dual Incision in GG-NER; SARS-CoV-1 modulates host translation machinery; Translesion Synthesis by POLH; Downregulation of ERBB4 signaling; Regulation of innate immune responses to cytosolic DNA; N-glycan trimming in the ER and Calnexin/Calreticulin cycle; Gap-filling DNA repair synthesis and ligation in GG-NER; PTK6 Regulates RTKs and Their Effectors AKT1 and DOK1; Regulation of PTEN localization; Pexophagy; Maturation of protein E; Maturation of protein E; FLT3 signaling by CBL mutants; TRAF6 mediated IRF7 activation in TLR7/8 or 9 signaling; UCH proteinases; Ub-specific processing proteases; Metalloprotease DUBs; Regulation of PLK1 Activity at G2/M Transition; The role of GTSE1 in G2/M progression after G2 checkpoint; Negative regulation of MAPK pathway; Peroxisomal protein import; Orc1 removal from chromatin; Gap-filling DNA repair synthesis and ligation in TC-NER; Neddylation; Antigen processing: Ubiquitination &amp; Proteasome degradation; Assembly of the pre-replicative complex; Downregulation of TGF-beta receptor signaling; Recruitment and ATM-mediated phosphorylation of repair and signaling proteins at DNA double strand breaks; Cyclin D associated events in G1; RUNX1 regulates transcription of genes involved in differentiation of HSCs; Downregulation of SMAD2/3:SMAD4 transcriptional activity; Asymmetric localization of PCP proteins; Degradation of AXIN; Hedgehog 'on' state; Regulation of RUNX3 expression and activity; Downstream TCR signaling; JNK (c-Jun kinases) phosphorylation and  activation mediated by activated human TAK1; Deactivation of the beta-catenin transactivating complex; NOD1/2 Signaling Pathway; Cargo recognition for clathrin-mediated endocytosis; MAP3K8 (TPL2)-dependent MAPK1/3 activation; RAS processing; N-glycan trimming in the ER and Calnexin/Calreticulin cycle; FCERI mediated NF-kB activation; Activation of NF-kappaB in B cells; Oxygen-dependent proline hydroxylation of Hypoxia-inducible Factor Alpha; APC/C:Cdc20 mediated degradation of Securin; APC/C:Cdh1 mediated degradation of Cdc20 and other APC/C:Cdh1 targeted proteins in late mitosis/early G1; Cdc20:Phospho-APC/C mediated degradation of Cyclin A; Degradation of beta-catenin by the destruction complex; Separation of Sister Chromatids; Autodegradation of the E3 ubiquitin ligase COP1; ABC-family proteins mediated transport; AUF1 (hnRNP D0) binds and destabilizes mRNA; Degradation of DVL; Hedgehog ligand biogenesis; Dectin-1 mediated noncanonical NF-kB signaling; Degradation of GLI1 by the proteasome; GLI3 is processed to GLI3R by the proteasome; NIK--&gt;noncanonical NF-kB signaling; MAPK6/MAPK4 signaling; CDK-mediated phosphorylation and removal of Cdc6; G2/M Checkpoints; Ubiquitin Mediated Degradation of Phosphorylated Cdc25A; Ubiquitin-dependent degradation of Cyclin D; FBXL7 down-regulates AURKA during mitotic entry and in early mitosis; Regulation of PTEN stability and activity; KEAP1-NFE2L2 pathway; Recognition of DNA damage by PCNA-containing replication complex; DNA Damage Recognition in GG-NER; Formation of Incision Complex in GG-NER; Dual Incision in GG-NER; Formation of TC-NER Pre-Incision Complex; Dual incision in TC-NER; Stimuli-sensing channels; Endosomal Sorting Complex Required For Transport (ESCRT); Ovarian tumor domain proteases; Senescence-Associated Secretory Phenotype (SASP); Spry regulation of FGF signaling; EGFR downregulation; Negative regulation of MET activity; PTK6 Regulates RTKs and Their Effectors AKT1 and DOK1; Regulation of signaling by CBL; Negative regulation of FLT3; Regulation of RUNX2 expression and activity; Regulation of BACH1 activity; GSK3B and BTRC:CUL1-mediated-degradation of NFE2L2; NRIF signals cell death from the nucleus; p75NTR recruits signalling complexes; NF-kB is activated and signals survival; Negative regulators of DDX58/IFIH1 signaling; SMAD2/SMAD3:SMAD4 heterotrimer regulates transcription; activated TAK1 mediates p38 MAPK activation; TNFR1-induced NFkappaB signaling pathway; IRAK2 mediated activation of TAK1 complex; TRAF6-mediated induction of TAK1 complex within TLR4 complex; Alpha-protein kinase 1 signaling pathway; IRAK2 mediated activation of TAK1 complex upon TLR7/8 or 9 stimulation; Regulation of TP53 Activity through Phosphorylation; Regulation of FZD by ubiquitination; Autodegradation of Cdh1 by Cdh1:APC/C; SCF(Skp2)-mediated degradation of p27/p21; Synthesis of active ubiquitin: roles of E1 and E2 enzymes; PINK1-PRKN Mediated Mitophagy; Pexophagy; VLDLR internalisation and degradation; E3 ubiquitin ligases ubiquitinate target proteins; Translesion synthesis by REV1; Translesion Synthesis by POLH; Translesion synthesis by POLK; Translesion synthesis by POLI; Termination of translesion DNA synthesis; HDR through Homologous Recombination (HRR); Gap-filling DNA repair synthesis and ligation in GG-NER; Regulation of TNFR1 signaling; Aggrephagy; Josephin domain DUBs; TGF-beta receptor signaling in EMT (epithelial to mesenchymal transition); IKK complex recruitment mediated by RIP1; Inactivation of CSF3 (G-CSF) signaling; SCF-beta-TrCP mediated degradation of Emi1; Regulation of TP53 Activity through Methylation; APC/C:Cdc20 mediated degradation of Cyclin B; APC-Cdc20 mediated degradation of Nek2A; Regulation of PTEN localization; Fanconi Anemia Pathway; Regulation of expression of SLITs and ROBOs; Regulation of NF-kappa B signaling; Iron uptake and transport; Downregulation of ERBB4 signaling; Regulation of TP53 Degradation; Activated NOTCH1 Transmits Signal to the Nucleus; Activation of IRF3/IRF7 mediated by TBK1/IKK epsilon; Regulation of necroptotic cell death; Regulation of innate immune responses to cytosolic DNA; Downregulation of ERBB2:ERBB3 signaling; ER Quality Control Compartment (ERQC); Regulation of PLK1 Activity at G2/M Transition; Senescence-Associated Secretory Phenotype (SASP); Ub-specific processing proteases; Recruitment and ATM-mediated phosphorylation of repair and signaling proteins at DNA double strand breaks; E3 ubiquitin ligases ubiquitinate target proteins; Regulation of NF-kappa B signaling; Autodegradation of Cdh1 by Cdh1:APC/C; APC/C:Cdh1 mediated degradation of Cdc20 and other APC/C:Cdh1 targeted proteins in late mitosis/early G1; SCF(Skp2)-mediated degradation of p27/p21; Hedgehog 'on' state; Assembly of the pre-replicative complex; Regulation of RUNX2 expression and activity; Regulation of RUNX3 expression and activity; GSK3B and BTRC:CUL1-mediated-degradation of NFE2L2; UCH proteinases; Metalloprotease DUBs; Antigen processing: Ubiquitination &amp; Proteasome degradation; APC/C:Cdc20 mediated degradation of Cyclin B; APC/C:Cdc20 mediated degradation of Securin; Cdc20:Phospho-APC/C mediated degradation of Cyclin A; APC-Cdc20 mediated degradation of Nek2A; Separation of Sister Chromatids; CDK-mediated phosphorylation and removal of Cdc6; Deactivation of the beta-catenin transactivating complex; Formation of TC-NER Pre-Incision Complex; Dual incision in TC-NER; Gap-filling DNA repair synthesis and ligation in TC-NER; Degradation of DVL; Translesion synthesis by REV1; Recognition of DNA damage by PCNA-containing replication complex; Translesion Synthesis by POLH; Translesion synthesis by POLK; Translesion synthesis by POLI; Termination of translesion DNA synthesis; HDR through Homologous Recombination (HRR); Formation of Incision Complex in GG-NER; Gap-filling DNA repair synthesis and ligation in GG-NER; Dual Incision in GG-NER; Stimuli-sensing channels; Dectin-1 mediated noncanonical NF-kB signaling; NIK--&gt;noncanonical NF-kB signaling; Neddylation; Fanconi Anemia Pathway; Regulation of innate immune responses to cytosolic DNA; Aggrephagy; Spry regulation of FGF signaling; Endosomal Sorting Complex Required For Transport (ESCRT); EGFR downregulation; Cargo recognition for clathrin-mediated endocytosis; Negative regulators of DDX58/IFIH1 signaling; Peroxisomal protein import; Regulation of FZD by ubiquitination; DNA Damage Recognition in GG-NER; Nonsense Mediated Decay (NMD) independent of the Exon Junction Complex (EJC); Nonsense Mediated Decay (NMD) enhanced by the Exon Junction Complex (EJC); Negative regulation of MET activity; NOD1/2 Signaling Pathway; activated TAK1 mediates p38 MAPK activation; JNK (c-Jun kinases) phosphorylation and  activation mediated by activated human TAK1; Downregulation of ERBB4 signaling; Regulation of TNFR1 signaling; TNFR1-induced NFkappaB signaling pathway; Hedgehog ligand biogenesis; Iron uptake and transport; SMAD2/SMAD3:SMAD4 heterotrimer regulates transcription; Cyclin D associated events in G1; Regulation of necroptotic cell death; Downstream TCR signaling; Regulation of signaling by CBL; Downregulation of ERBB2 signaling; Negative regulation of MAPK pathway; Ovarian tumor domain proteases; GTP hydrolysis and joining of the 60S ribosomal subunit; Oxygen-dependent proline hydroxylation of Hypoxia-inducible Factor Alpha; N-glycan trimming in the ER and Calnexin/Calreticulin cycle; SCF-beta-TrCP mediated degradation of Emi1; Regulation of TP53 Activity through Methylation; SRP-dependent cotranslational protein targeting to membrane; RUNX1 regulates transcription of genes involved in differentiation of HSCs; ABC-family proteins mediated transport; Degradation of GLI1 by the proteasome; Downregulation of SMAD2/3:SMAD4 transcriptional activity; Synthesis of active ubiquitin: roles of E1 and E2 enzymes; Autodegradation of the E3 ubiquitin ligase COP1; Regulation of TP53 Activity through Phosphorylation; Regulation of TP53 Degradation; Pexophagy; Degradation of beta-catenin by the destruction complex; Orc1 removal from chromatin; Alpha-protein kinase 1 signaling pathway; Interleukin-1 signaling; NOTCH3 Activation and Transmission of Signal to the Nucleus; FCERI mediated NF-kB activation; Activation of NF-kappaB in B cells; GLI3 is processed to GLI3R by the proteasome; MAP3K8 (TPL2)-dependent MAPK1/3 activation; Activated NOTCH1 Transmits Signal to the Nucleus; VLDLR internalisation and degradation; KEAP1-NFE2L2 pathway; TGF-beta receptor signaling in EMT (epithelial to mesenchymal transition); Downregulation of TGF-beta receptor signaling; PTK6 Regulates RTKs and Their Effectors AKT1 and DOK1; NF-kB is activated and signals survival; Degradation of AXIN; Josephin domain DUBs; FBXL7 down-regulates AURKA during mitotic entry and in early mitosis; ER Quality Control Compartment (ERQC)</t>
  </si>
  <si>
    <t>Cytoplasmic ribosomal proteins; Membrane trafficking; Cytoplasmic ribosomal proteins</t>
  </si>
  <si>
    <t>[K].TITLEVEPSDTIENVK.[A]</t>
  </si>
  <si>
    <t>sp [12-27]</t>
  </si>
  <si>
    <t>KRHB2_HUMAN</t>
  </si>
  <si>
    <t>[R].LQQETENVK.[A]</t>
  </si>
  <si>
    <t>sp [346-354]</t>
  </si>
  <si>
    <t>HBB_HUMAN</t>
  </si>
  <si>
    <t>[K].VNVDEVGGEALGR.[L]</t>
  </si>
  <si>
    <t>sp [18-30]</t>
  </si>
  <si>
    <t>YMR301C</t>
  </si>
  <si>
    <t>ATM1 SGDID:S000004916, Chr XIII from 869626-867554, reverse complement, Verified ORF, "Mitochondrial inner membrane ATP-binding cassette (ABC) transporter, exports mitochondrially synthesized precursors of iron-sulfur (Fe/S) clusters to the cytosol"</t>
  </si>
  <si>
    <t>cell organization and biogenesis;other metabolic processes;transport;other biological processes</t>
  </si>
  <si>
    <t>other membranes;mitochondrion</t>
  </si>
  <si>
    <t>transporter activity;other molecular function</t>
  </si>
  <si>
    <t>Pf00005, Pf00664</t>
  </si>
  <si>
    <t>855347</t>
  </si>
  <si>
    <t>A0A0L8VJE9; A0A8H4F9S4; A6ZN17; D6W0C8; P40416; sce:YMR301C; YMR301C</t>
  </si>
  <si>
    <t>ATM1</t>
  </si>
  <si>
    <t>Mitochondrial ABC transporters</t>
  </si>
  <si>
    <t>[K].EYDIDALR.[K]</t>
  </si>
  <si>
    <t>YMR301C [502-509]</t>
  </si>
  <si>
    <t>YKL042W</t>
  </si>
  <si>
    <t>SPC42 SGDID:S000001525, Chr XI from 358119-359210, Verified ORF, "Central plaque component of spindle pole body (SPB); involved in SPB duplication, may facilitate attachment of the SPB to the nuclear membrane"</t>
  </si>
  <si>
    <t>cytoskeletal activity</t>
  </si>
  <si>
    <t>Pf11544</t>
  </si>
  <si>
    <t>853824</t>
  </si>
  <si>
    <t>A0A8H4BY82; D6VXP4; N1NZ93; P36094; sce:YKL042W; YKL042W</t>
  </si>
  <si>
    <t>SPC42</t>
  </si>
  <si>
    <t>[K].QNEIFELK.[K]</t>
  </si>
  <si>
    <t>YKL042W [80-87]</t>
  </si>
  <si>
    <t>YER151C</t>
  </si>
  <si>
    <t>UBP3 SGDID:S000000953, Chr V from 472419-469681, reverse complement, Verified ORF, "Ubiquitin-specific protease that interacts with Bre5p to co-regulate anterograde and retrograde transport between endoplasmic reticulum and Golgi compartments; inhibitor of gene silencing; cleaves ubiquitin fusions but not polyubiquitin"</t>
  </si>
  <si>
    <t>cytosol;mitochondrion;nucleus;other cell component</t>
  </si>
  <si>
    <t>nucleic acid binding activity;other molecular function</t>
  </si>
  <si>
    <t>Pf00443</t>
  </si>
  <si>
    <t>856895</t>
  </si>
  <si>
    <t>A0A8H8UM15; D3DM58; Q01477; sce:YER151C; YER151C</t>
  </si>
  <si>
    <t>UBP3</t>
  </si>
  <si>
    <t>[R].SVLDIPNNK.[E]</t>
  </si>
  <si>
    <t>YER151C [707-715]</t>
  </si>
  <si>
    <t>YER073W</t>
  </si>
  <si>
    <t>ALD5 SGDID:S000000875, Chr V from 304027-305589, Verified ORF, "Mitochondrial aldehyde dehydrogenase, involved in regulation or biosynthesis of electron transport chain components and acetate formation; activated by K+; utilizes NADP+ as the preferred coenzyme; constitutively expressed"</t>
  </si>
  <si>
    <t>[K].VTLELGGK.[S]</t>
  </si>
  <si>
    <t>YER073W [285-292]</t>
  </si>
  <si>
    <t>YIL145C</t>
  </si>
  <si>
    <t>PAN6 SGDID:S000001407, Chr IX from 77283-76354, reverse complement, Verified ORF, "Pantothenate synthase, also known as pantoate-beta-alanine ligase, required for pantothenic acid biosynthesis, deletion causes pantothenic acid auxotrophy, homologous to E. coli panC"</t>
  </si>
  <si>
    <t>Pf02569</t>
  </si>
  <si>
    <t>854661</t>
  </si>
  <si>
    <t>A0A6L0ZCQ2; A6ZVD1; C7GUR2; C8ZAW7; D6VVE2; G2WG07; P40459; sce:YIL145C; YIL145C</t>
  </si>
  <si>
    <t>K7_PAN6; PAN6</t>
  </si>
  <si>
    <t>Phospho [T144(100)]</t>
  </si>
  <si>
    <t>[R].GVATVVTK.[L]</t>
  </si>
  <si>
    <t>1xPhospho [T7(100)]</t>
  </si>
  <si>
    <t>YIL145C [138-145]</t>
  </si>
  <si>
    <t>YIL145C 1xPhospho [T144(100)]</t>
  </si>
  <si>
    <t>CATA_HUMAN</t>
  </si>
  <si>
    <t>[K].ADVLTTGAGNPVGDK.[L]</t>
  </si>
  <si>
    <t>sp [23-37]</t>
  </si>
  <si>
    <t>YBL002W</t>
  </si>
  <si>
    <t>HTB2 SGDID:S000000098, Chr II from 236495-236890, Verified ORF, "One of two nearly identical (see HTB1) histone H2B subtypes required for chromatin assembly and chromosome function; Rad6p-Bre1p-Lge1p mediated ubiquitination regulates transcriptional activation, meiotic DSB formation and H3 methylation"</t>
  </si>
  <si>
    <t>nucleus;other cell component</t>
  </si>
  <si>
    <t>Pf00125</t>
  </si>
  <si>
    <t>852284</t>
  </si>
  <si>
    <t>A0A0L8VVI5; A0A6A5Q1U6; A0A6C1DMY9; A6ZKU6; B3LNE1; C7GM50; C8Z3Z6; D6VQ00; G2W907; H0GC78; N1P9S0; P02294; sce:YBL002W; YBL002W</t>
  </si>
  <si>
    <t>HTB2; HTB2_1; K7_HTB2</t>
  </si>
  <si>
    <t>[R].LILPGELAK.[H]</t>
  </si>
  <si>
    <t>YBL002W [104-112]</t>
  </si>
  <si>
    <t>YDR465C</t>
  </si>
  <si>
    <t>RMT2 SGDID:S000002873, Chr IV from 1394567-1393329, reverse complement, Verified ORF, "Arginine methyltransferase; ribosomal protein L12 is a substrate"</t>
  </si>
  <si>
    <t>852076</t>
  </si>
  <si>
    <t>A0A8H8UNZ9; D6VT90; N1P5P8; Q03305; sce:YDR465C; YDR465C</t>
  </si>
  <si>
    <t>RMT2</t>
  </si>
  <si>
    <t>Creatine metabolism</t>
  </si>
  <si>
    <t>[R].SLCYDVYK.[E]</t>
  </si>
  <si>
    <t>1xCarbamidomethyl [C3]</t>
  </si>
  <si>
    <t>YDR465C [356-363]</t>
  </si>
  <si>
    <t>ALBU_HUMAN</t>
  </si>
  <si>
    <t>non-structural extracellular;ER/Golgi;other cell component</t>
  </si>
  <si>
    <t>Pf00273</t>
  </si>
  <si>
    <t>213</t>
  </si>
  <si>
    <t>E7ESS9; hsa:213; O95574; P02768; P04277; Q13140; Q645G4; Q68DN5; Q6UXK4; Q86YG0; Q8IUK7; Q9P157; Q9P1I7; Q9UHS3; Q9UJZ0; sp</t>
  </si>
  <si>
    <t>ENSG00000163631</t>
  </si>
  <si>
    <t>ALB</t>
  </si>
  <si>
    <t>Scavenging of heme from plasma; Platelet degranulation ; Regulation of Insulin-like Growth Factor (IGF) transport and uptake by Insulin-like Growth Factor Binding Proteins (IGFBPs); Post-translational protein phosphorylation; Cytoprotection by HMOX1; Aspirin ADME; Recycling of bile acids and salts; Prednisone ADME; Heme degradation; HDL remodeling; Heme biosynthesis</t>
  </si>
  <si>
    <t>Selenium micronutrient network; Vitamin B12 metabolism; Folate metabolism; Complement system; VEGFA-VEGFR2 signaling pathway</t>
  </si>
  <si>
    <t>[K].YLYEIAR.[R]</t>
  </si>
  <si>
    <t>sp [162-168]</t>
  </si>
  <si>
    <t>IPI00304458 IPI:IPI00304458.1</t>
  </si>
  <si>
    <t>SWISS-PROT:Q9C075 TREMBL:Q8TC04|REFSEQ_NP:NP_056330|ENSEMBL:ENSP00000209718|H-INV:HIT000004521;HIT000040532 Tax_Id=9606 Keratin, type I cytoskeletal 23</t>
  </si>
  <si>
    <t>[K].EQSAAMSQEAASPATVQSR.[Q]</t>
  </si>
  <si>
    <t>IPI00304458 IPI:IPI00304458.1 [265-283]</t>
  </si>
  <si>
    <t>Medium</t>
  </si>
  <si>
    <t>YJR006W</t>
  </si>
  <si>
    <t>POL31 SGDID:S000003766, Chr X from 449195-450658, Verified ORF, "DNA polymerase III (delta) subunit, essential for cell viability; involved in DNA replication and DNA repair"</t>
  </si>
  <si>
    <t>DNA metabolism;RNA metabolism OR transcription;other metabolic processes;stress response</t>
  </si>
  <si>
    <t>cytosol;nucleus;other cell component</t>
  </si>
  <si>
    <t>Pf04042, Pf18018</t>
  </si>
  <si>
    <t>853462</t>
  </si>
  <si>
    <t>A0A6A5PTG9; D6VWI1; N1P1G3; P46957; sce:YJR006W; YJR006W</t>
  </si>
  <si>
    <t>POL31</t>
  </si>
  <si>
    <t>Removal of the Flap Intermediate</t>
  </si>
  <si>
    <t>DNA replication</t>
  </si>
  <si>
    <t>[K].NINDICKYVIPSNDNGESENK.[V]</t>
  </si>
  <si>
    <t>1xCarbamidomethyl [C6]</t>
  </si>
  <si>
    <t>YJR006W [359-379]</t>
  </si>
  <si>
    <t>YER186C</t>
  </si>
  <si>
    <t>YER186C SGDID:S000000988, Chr V from 562620-561700, reverse complement, Uncharacterized ORF, "Putative protein of unknown function"</t>
  </si>
  <si>
    <t>856935</t>
  </si>
  <si>
    <t>A0A8H8UM50; D3DM95; N1P3Q8; P40101; sce:YER186C</t>
  </si>
  <si>
    <t>[-].MLWHPDGYEPR.[V]</t>
  </si>
  <si>
    <t>YER186C [1-11]</t>
  </si>
  <si>
    <t>YAL005C</t>
  </si>
  <si>
    <t>SSA1 SGDID:S000000004, Chr I from 141433-139505, reverse complement, Verified ORF, "ATPase involved in protein folding and nuclear localization signal (NLS)-directed nuclear transport; member of heat shock protein 70 (HSP70) family; forms a chaperone complex with Ydj1p; localized to the nucleus, cytoplasm, and cell wall"</t>
  </si>
  <si>
    <t>cell organization and biogenesis;protein metabolism;other metabolic processes;stress response;transport;other biological processes</t>
  </si>
  <si>
    <t>non-structural extracellular;other membranes;nucleus;other cytoplasmic organelle;other cell component</t>
  </si>
  <si>
    <t>Pf00012</t>
  </si>
  <si>
    <t>851259</t>
  </si>
  <si>
    <t>D6VPL2; G2W8M6; G9BX85; P10591; sce:YAL005C; YAL005C</t>
  </si>
  <si>
    <t>hsp70; K7_SSA1; SSA1</t>
  </si>
  <si>
    <t>HSP90 chaperone cycle for steroid hormone receptors (SHR) in the presence of ligand; Regulation of HSF1-mediated heat shock response; Attenuation phase</t>
  </si>
  <si>
    <t>[K].ETAESYLGAK.[V]</t>
  </si>
  <si>
    <t>YAL005C [127-136]</t>
  </si>
  <si>
    <t>YCR030C</t>
  </si>
  <si>
    <t>SYP1 SGDID:S000000626, Chr III from 176434-173822, reverse complement, Verified ORF, "Protein with a potential role in actin cytoskeletal organization; overexpression suppresses a pfy1 (profilin) null mutation"</t>
  </si>
  <si>
    <t>plasma membrane;other membranes;cytoskeleton;other cell component</t>
  </si>
  <si>
    <t>enzyme regulator activity;other molecular function</t>
  </si>
  <si>
    <t>Pf10291</t>
  </si>
  <si>
    <t>850396</t>
  </si>
  <si>
    <t>A0A0L8VUX4; A0A8H4BSZ6; C8Z4C0; D6VR40; N1P9A7; P25622; P25623; Q96VH0; sce:YCR030C; YCR030C</t>
  </si>
  <si>
    <t>SYP1</t>
  </si>
  <si>
    <t>Clathrin-mediated endocytosis</t>
  </si>
  <si>
    <t>[K].SPYEATETIR.[I]</t>
  </si>
  <si>
    <t>YCR030C [17-26]</t>
  </si>
  <si>
    <t>HBA_HUMAN</t>
  </si>
  <si>
    <t>[-].VLSPADKTNVK.[A]</t>
  </si>
  <si>
    <t>sp [1-11]</t>
  </si>
  <si>
    <t>YGR135W</t>
  </si>
  <si>
    <t>PRE9 SGDID:S000003367, Chr VII from 761397-762173, Verified ORF, "Alpha 3 subunit of the 20S proteasome, the only nonessential 20S subunit; may be replaced by the alpha 4 subunit (Pre6p) under stress conditions to create a more active proteasomal isoform"</t>
  </si>
  <si>
    <t>cell organization and biogenesis;protein metabolism;other metabolic processes</t>
  </si>
  <si>
    <t>other membranes;cytosol;nucleus;other cell component</t>
  </si>
  <si>
    <t>Pf00227, Pf10584</t>
  </si>
  <si>
    <t>853036</t>
  </si>
  <si>
    <t>A0A0L8VQ09; A0A6A5PXC6; A0A6C1DS11; A6ZUE9; B3LI93; B5VJ80; C7GUG0; D6VUR7; G2WEL7; N1P9W9; P23638; sce:YGR135W; YGR135W</t>
  </si>
  <si>
    <t>K7_PRE9; PRE9; PRE9_1</t>
  </si>
  <si>
    <t>Cross-presentation of soluble exogenous antigens (endosomes); TNFR2 non-canonical NF-kB pathway; Ub-specific processing proteases</t>
  </si>
  <si>
    <t>Proteasome degradation</t>
  </si>
  <si>
    <t>[R].TTIFSPEGR.[L]</t>
  </si>
  <si>
    <t>YGR135W [10-18]</t>
  </si>
  <si>
    <t>YPR033C</t>
  </si>
  <si>
    <t>HTS1 SGDID:S000006237, Chr XVI from 639016-637376, reverse complement, Verified ORF, "Cytoplasmic and mitochondrial histidine tRNA synthetase; encoded by a single nuclear gene that specifies two messages; efficient mitochondrial localization requires both a presequence and an amino-terminal sequence"</t>
  </si>
  <si>
    <t>protein metabolism;RNA metabolism OR transcription;other metabolic processes</t>
  </si>
  <si>
    <t>cytosol;mitochondrion;other cell component</t>
  </si>
  <si>
    <t>Pf03129, Pf13393</t>
  </si>
  <si>
    <t>856145</t>
  </si>
  <si>
    <t>A0A0L8VGA6; A0A6C1E1Z1; A0A8H4BU25; B5VTJ1; C7GQA5; C8ZJ57; D6W443; N1NW10; P07263; Q12095; sce:YPR033C; YPR033C</t>
  </si>
  <si>
    <t>HTS1; HTS1_1</t>
  </si>
  <si>
    <t>[R].EAIFSTLSGLFK.[K]</t>
  </si>
  <si>
    <t>1xPhospho [S/T]</t>
  </si>
  <si>
    <t>YPR033C [73-84]</t>
  </si>
  <si>
    <t>YIL121W</t>
  </si>
  <si>
    <t>QDR2 SGDID:S000001383, Chr IX from 132241-133869, Verified ORF, "Multidrug transporter of the major facilitator superfamily, required for resistance to quinidine, barban, cisplatin, and bleomycin; may have a role in potassium uptake"</t>
  </si>
  <si>
    <t>transport</t>
  </si>
  <si>
    <t>plasma membrane;other membranes</t>
  </si>
  <si>
    <t>transporter activity</t>
  </si>
  <si>
    <t>Pf07690</t>
  </si>
  <si>
    <t>854685</t>
  </si>
  <si>
    <t>A0A8H4F9M0; D6VVG6; P40474; sce:YIL121W; YIL121W</t>
  </si>
  <si>
    <t>QDR2</t>
  </si>
  <si>
    <t>[R].IIENDPK.[Y]</t>
  </si>
  <si>
    <t>YIL121W [395-401]</t>
  </si>
  <si>
    <t>YER041W</t>
  </si>
  <si>
    <t>YEN1 SGDID:S000000843, Chr V from 232460-234739, Verified ORF, "Protein of unknown function, has similarity to endonuclease Rth1p; potentially phosphorylated by Cdc28p"</t>
  </si>
  <si>
    <t>Phospho [T721(100)]</t>
  </si>
  <si>
    <t>[K].MLPPNLTAPR.[L]</t>
  </si>
  <si>
    <t>YER041W [715-724]</t>
  </si>
  <si>
    <t>YER041W 1xPhospho [T721(100)]</t>
  </si>
  <si>
    <t>YLR336C</t>
  </si>
  <si>
    <t>SGD1 SGDID:S000004328, Chr XII from 802396-799697, reverse complement, Verified ORF, "Essential nuclear protein with a possible role in the osmoregulatory glycerol response; interacts with phospholipase C (Plc1p); putative homolog of human NOM1 which is implicated in acute myeloid leukemia"</t>
  </si>
  <si>
    <t>RNA metabolism OR transcription;other metabolic processes;stress response;other biological processes</t>
  </si>
  <si>
    <t>nucleic acid binding activity</t>
  </si>
  <si>
    <t>Pf02847, Pf02854</t>
  </si>
  <si>
    <t>851049</t>
  </si>
  <si>
    <t>D6VYX6; N1P1M7; Q06132; sce:YLR336C; YLR336C</t>
  </si>
  <si>
    <t>SGD1</t>
  </si>
  <si>
    <t>[R].FSISEGK.[K]</t>
  </si>
  <si>
    <t>YLR336C [28-34]</t>
  </si>
  <si>
    <t>YGR178C</t>
  </si>
  <si>
    <t>PBP1 SGDID:S000003410, Chr VII from 853220-851052, reverse complement, Verified ORF, "Protein interacting with poly(A)-binding protein Pab1p; likely involved in controlling the extent of mRNA polyadenylation; forms a complex with Mkt1p that may regulate HO translation; interacts with Lsm12p in a copurification assay"</t>
  </si>
  <si>
    <t>cell organization and biogenesis;DNA metabolism;other metabolic processes;other biological processes</t>
  </si>
  <si>
    <t>cytosol;other cell component</t>
  </si>
  <si>
    <t>Pf06741, Pf14438</t>
  </si>
  <si>
    <t>853089</t>
  </si>
  <si>
    <t>A0A8H4FCZ3; D6VUW2; N1P9X7; P53297; sce:YGR178C; YGR178C</t>
  </si>
  <si>
    <t>PBP1</t>
  </si>
  <si>
    <t>[R].QQPHHMDPAIISSSNSNK.[N]</t>
  </si>
  <si>
    <t>1xPhospho [S]</t>
  </si>
  <si>
    <t>YGR178C [327-344]</t>
  </si>
  <si>
    <t>YGL192W</t>
  </si>
  <si>
    <t>IME4 SGDID:S000003160, Chr VII from 142252-144054, Verified ORF, "Probable mRNA N6-adenosine methyltransferase that is required for IME1 transcript accumulation and for sporulation; expression is induced in starved MATa/MAT alpha diploid cells"</t>
  </si>
  <si>
    <t>cell cycle OR cell proliferation;DNA metabolism;RNA metabolism OR transcription;other metabolic processes;other biological processes</t>
  </si>
  <si>
    <t>Pf05063</t>
  </si>
  <si>
    <t>852683</t>
  </si>
  <si>
    <t>A0A8H4C142; D6VTW2; P41833; sce:YGL192W; YGL192W</t>
  </si>
  <si>
    <t>IME4</t>
  </si>
  <si>
    <t>[R].LQNLLR.[E]</t>
  </si>
  <si>
    <t>YGL192W [165-170]</t>
  </si>
  <si>
    <t>YCR057C</t>
  </si>
  <si>
    <t>PWP2 SGDID:S000000653, Chr III from 223224-220453, reverse complement, Verified ORF, "Conserved 90S pre-ribosomal component essential for proper endonucleolytic cleavage of the 35 S rRNA precursor at A0, A1, and A2 sites; contains eight WD-repeats; PWP2 deletion leads to defects in cell cycle and bud morphogenesis"</t>
  </si>
  <si>
    <t>cell organization and biogenesis;RNA metabolism OR transcription;other metabolic processes;other biological processes</t>
  </si>
  <si>
    <t>Pf00400, Pf04003</t>
  </si>
  <si>
    <t>850422</t>
  </si>
  <si>
    <t>A0A8H4BSQ1; D6VR63; P25633; P25635; P25636; sce:YCR057C; YCR057C</t>
  </si>
  <si>
    <t>PWP2</t>
  </si>
  <si>
    <t>Major pathway of rRNA processing in the nucleolus and cytosol</t>
  </si>
  <si>
    <t>[R].FILTTSK.[D]</t>
  </si>
  <si>
    <t>YCR057C [160-166]</t>
  </si>
  <si>
    <t>YGR036C</t>
  </si>
  <si>
    <t>CAX4 SGDID:S000003268, Chr VII from 558872-558153, reverse complement, Verified ORF, "Dolichyl pyrophosphate (Dol-P-P) phosphatase with a luminally oriented active site in the ER, cleaves the anhydride linkage in Dol-P-P, required for Dol-P-P-linked oligosaccharide intermediate synthesis and protein N-glycosylation"</t>
  </si>
  <si>
    <t>other cell component</t>
  </si>
  <si>
    <t>Pf01569</t>
  </si>
  <si>
    <t>852924</t>
  </si>
  <si>
    <t>A0A0L8VR58; A0A6A5PVS6; A0A6C1DSM2; A6ZV25; B3LII4; C8Z8T2; D6VUH3; G2WEC7; N1P5Q1; P53223; Q45U47; sce:YGR036C; YGR036C</t>
  </si>
  <si>
    <t>CAX4; CAX4_1; K7_CAX4</t>
  </si>
  <si>
    <t>Cholesterol biosynthesis</t>
  </si>
  <si>
    <t>Phospho [S88(100); S92(100); T97(100)]</t>
  </si>
  <si>
    <t>[K].QPRPVSFGASFQNDTIR.[S]</t>
  </si>
  <si>
    <t>3xPhospho [S6(100); S10(100); T15(100)]</t>
  </si>
  <si>
    <t>YGR036C [83-99]</t>
  </si>
  <si>
    <t>YGR036C 3xPhospho [S88(100); S92(100); T97(100)]</t>
  </si>
  <si>
    <t>================================================================================</t>
  </si>
  <si>
    <t>Processing Step A: Workflow</t>
  </si>
  <si>
    <t>Result name: DM110422_111422_2</t>
  </si>
  <si>
    <t>Result file: D:\dmallett\111422_Eclipse\DM110422_111422_PD2_5\DM110422_111422_2.msf</t>
  </si>
  <si>
    <t>Description: Basic processing workflow with score threshold validation to be used for searches of low complexity samples or employing a small FASTA database. Specify the FASTA database and any additional modifications.</t>
  </si>
  <si>
    <t>Workflow based on template: PWF_Tribrid_Basic_SequestHT_Percolator</t>
  </si>
  <si>
    <t>Creation date: 11/15/2022 3:02:59 PM</t>
  </si>
  <si>
    <t>Created with Discoverer version: 2.5.0.402</t>
  </si>
  <si>
    <t>------------------------------------------------------------------</t>
  </si>
  <si>
    <t>The workflow tree:</t>
  </si>
  <si>
    <t xml:space="preserve">  |-(0) Spectrum Files RC</t>
  </si>
  <si>
    <t xml:space="preserve">    |-(1) Spectrum Selector</t>
  </si>
  <si>
    <t xml:space="preserve">      |-(2) Sequest HT</t>
  </si>
  <si>
    <t xml:space="preserve">        |-(4) Percolator</t>
  </si>
  <si>
    <t xml:space="preserve">          |-(5) IMP-ptmRS</t>
  </si>
  <si>
    <t>Processing node 0: Spectrum Files RC</t>
  </si>
  <si>
    <t>1. Search Settings:</t>
  </si>
  <si>
    <t>- Protein Database:  cRAP_012915_NP.fasta; SGDyeast_20080728.fasta</t>
  </si>
  <si>
    <t>- Precursor Mass Tolerance:  20 ppm</t>
  </si>
  <si>
    <t>- Fragment Mass Tolerance:  0.5 Da</t>
  </si>
  <si>
    <t>- 1. Dynamic Modification:  Oxidation / +15.995 Da (M)</t>
  </si>
  <si>
    <t>- 1. Static Modification:  Carbamidomethyl / +57.021 Da (C)</t>
  </si>
  <si>
    <t>2. Regression Settings:</t>
  </si>
  <si>
    <t>Processing node 1: Spectrum Selector</t>
  </si>
  <si>
    <t>1. General Settings:</t>
  </si>
  <si>
    <t>- Use Isotope Pattern in Precursor Reevaluation:  True</t>
  </si>
  <si>
    <t>2. Spectrum Properties Filter:</t>
  </si>
  <si>
    <t>- Lower RT Limit:  0</t>
  </si>
  <si>
    <t>- Upper RT Limit:  0</t>
  </si>
  <si>
    <t>- First Scan:  0</t>
  </si>
  <si>
    <t>- Last Scan:  0</t>
  </si>
  <si>
    <t>- Lowest Charge State:  0</t>
  </si>
  <si>
    <t>- Highest Charge State:  0</t>
  </si>
  <si>
    <t>- Min. Precursor Mass:  350 Da</t>
  </si>
  <si>
    <t>- Max. Precursor Mass:  5000 Da</t>
  </si>
  <si>
    <t>- Total Intensity Threshold:  0</t>
  </si>
  <si>
    <t>- Minimum Peak Count:  1</t>
  </si>
  <si>
    <t>3. Scan Event Filters:</t>
  </si>
  <si>
    <t>- Min. Collision Energy:  0</t>
  </si>
  <si>
    <t>- Max. Collision Energy:  1000</t>
  </si>
  <si>
    <t>4. Peak Filters:</t>
  </si>
  <si>
    <t>- S/N Threshold (FT-only):  1.5</t>
  </si>
  <si>
    <t>5. Replacements for Unrecognized Properties:</t>
  </si>
  <si>
    <t>- Unrecognized Polarity Replacements:  +</t>
  </si>
  <si>
    <t>- Unrecognized MS Resolution@200 Replacements:  60000</t>
  </si>
  <si>
    <t>- Unrecognized MSn Resolution@200 Replacements:  30000</t>
  </si>
  <si>
    <t>6. Precursor Pattern Extraction:</t>
  </si>
  <si>
    <t>- Precursor Clipping Range Before:  2.5 Da</t>
  </si>
  <si>
    <t>- Precursor Clipping Range After:  5.5 Da</t>
  </si>
  <si>
    <t>Processing node 2: Sequest HT</t>
  </si>
  <si>
    <t>1. Input Data:</t>
  </si>
  <si>
    <t>- Max. Missed Cleavage Sites:  2</t>
  </si>
  <si>
    <t>- Min. Peptide Length:  6</t>
  </si>
  <si>
    <t>- Max. Peptide Length:  144</t>
  </si>
  <si>
    <t>- Max. Number of Peptides Reported:  10</t>
  </si>
  <si>
    <t>2. Tolerances:</t>
  </si>
  <si>
    <t>- Precursor Mass Tolerance:  10 ppm</t>
  </si>
  <si>
    <t>- Fragment Mass Tolerance:  0.6 Da</t>
  </si>
  <si>
    <t>- Use Average Precursor Mass:  False</t>
  </si>
  <si>
    <t>- Use Average Fragment Mass:  False</t>
  </si>
  <si>
    <t>3. Spectrum Matching:</t>
  </si>
  <si>
    <t>- Use Neutral Loss a Ions:  True</t>
  </si>
  <si>
    <t>- Use Neutral Loss b Ions:  True</t>
  </si>
  <si>
    <t>- Use Neutral Loss y Ions:  True</t>
  </si>
  <si>
    <t>- Use Flanking Ions:  True</t>
  </si>
  <si>
    <t>- Weight of a Ions:  0</t>
  </si>
  <si>
    <t>- Weight of b Ions:  1</t>
  </si>
  <si>
    <t>- Weight of c Ions:  0</t>
  </si>
  <si>
    <t>- Weight of x Ions:  0</t>
  </si>
  <si>
    <t>- Weight of y Ions:  1</t>
  </si>
  <si>
    <t>- Weight of z Ions:  0</t>
  </si>
  <si>
    <t>4. Dynamic Modifications:</t>
  </si>
  <si>
    <t>- Max. Equal Modifications Per Peptide:  3</t>
  </si>
  <si>
    <t>- Max. Dynamic Modifications Per Peptide:  4</t>
  </si>
  <si>
    <t>- 2. Dynamic Modification:  Phospho / +79.966 Da (S, T)</t>
  </si>
  <si>
    <t>6. Dynamic Modifications (protein terminus):</t>
  </si>
  <si>
    <t>- 1. N-Terminal Modification:  Acetyl / +42.011 Da (N-Terminus)</t>
  </si>
  <si>
    <t>- 2. N-Terminal Modification:  Met-loss / -131.040 Da (M)</t>
  </si>
  <si>
    <t>- 3. N-Terminal Modification:  Met-loss+Acetyl / -89.030 Da (M)</t>
  </si>
  <si>
    <t>7. Static Modifications:</t>
  </si>
  <si>
    <t>Processing node 4: Percolator</t>
  </si>
  <si>
    <t>1. Target/Decoy Strategy:</t>
  </si>
  <si>
    <t>2. Input Data:</t>
  </si>
  <si>
    <t>- Maximum Delta Cn:  0.05</t>
  </si>
  <si>
    <t>- Maximum Rank:  0</t>
  </si>
  <si>
    <t>3. FDR Targets:</t>
  </si>
  <si>
    <t>- Target FDR (Strict):  0.01</t>
  </si>
  <si>
    <t>- Target FDR (Relaxed):  0.05</t>
  </si>
  <si>
    <t>Processing node 5: IMP-ptmRS</t>
  </si>
  <si>
    <t>1. Scoring:</t>
  </si>
  <si>
    <t>- PhosphoRS Mode:  False</t>
  </si>
  <si>
    <t>- Report Only PTMs:  True</t>
  </si>
  <si>
    <t>- Use Diagnostic Ions:  True</t>
  </si>
  <si>
    <t>- Use Fragment Mass Tolerance of Search Node:  True</t>
  </si>
  <si>
    <t>- Maximum Peak Depth:  8</t>
  </si>
  <si>
    <t>- Use a mass accuracy correction:  False</t>
  </si>
  <si>
    <t>2. Performance:</t>
  </si>
  <si>
    <t>- Maximum Number of Position Isoforms:  500</t>
  </si>
  <si>
    <t>- Maximum PTMs per peptide:  10</t>
  </si>
  <si>
    <t>Workflow messages:</t>
  </si>
  <si>
    <t>Job Execution:</t>
  </si>
  <si>
    <t>Processing D:\dmallett\111422_Eclipse\DM110422_111422_PD2_5\DM110422_111422_2.msf</t>
  </si>
  <si>
    <t>(0) Spectrum Files RC:</t>
  </si>
  <si>
    <t>Start processing file F2: DM110422_111422_2.raw...</t>
  </si>
  <si>
    <t>Retrieving 82214 spectra took 1 min 33 s</t>
  </si>
  <si>
    <t>There is already an adequate target FASTA index for cRAP_012915_NP(4f7e5b08-e338-4bd6-a9c0-abfe3f9944b3).fasta.</t>
  </si>
  <si>
    <t>There is already an adequate target FASTA index for SGDyeast_20080728(6941213d-9dcd-4eaf-ac7f-f51cfd65cf72).fasta.</t>
  </si>
  <si>
    <t>Start searching spectra (HCD (High Energy Collision Dissociation))...</t>
  </si>
  <si>
    <t>Ise (2.0.0.24, x64) started at 11/15/2022 3:21:27 PM on DESKTOP-2MISEU1 (x64) [36 CPUs] running Microsoft Windows NT 6.2.9200.0 (64bit) [.NET: 4.0.30319.42000]</t>
  </si>
  <si>
    <t xml:space="preserve">Workload level: #parallel tasks: 10 </t>
  </si>
  <si>
    <t>Workload level: #spectra loaded and processed at once: 10000</t>
  </si>
  <si>
    <t>On-Disk search is performed</t>
  </si>
  <si>
    <t>Average search time per spectrum was 0.4 ms.</t>
  </si>
  <si>
    <t>Start reading spectrum results...</t>
  </si>
  <si>
    <t>Start calculating calibration...</t>
  </si>
  <si>
    <t>Calibrated F2 using constant shift of -0.6 ppm because number of landmarks was only 234.</t>
  </si>
  <si>
    <t>Processing file F2 took 2 min 14 s.</t>
  </si>
  <si>
    <t>-- Total execution of Spectrum Files RC (0) took 2 min 14 s --</t>
  </si>
  <si>
    <t>(1) Spectrum Selector:</t>
  </si>
  <si>
    <t>Profile spectra are not sent.</t>
  </si>
  <si>
    <t>Reading from file 1 of 1 F2: D:\dmallett\111422_Eclipse\DM110422_111422_2.raw (90815 spectra total)</t>
  </si>
  <si>
    <t>(2) Sequest HT:</t>
  </si>
  <si>
    <t>Sequence Database: cRAP_012915_NP.fasta</t>
  </si>
  <si>
    <t>Sequence Database: SGDyeast_20080728.fasta</t>
  </si>
  <si>
    <t>There were 415 invalid spectra in the file F2: D:\dmallett\111422_Eclipse\DM110422_111422_2.raw.</t>
  </si>
  <si>
    <t>Sent 81519 spectra from file F2.</t>
  </si>
  <si>
    <t>Sent 81519 spectra from 1 files (processing time: 1 min 13 s).</t>
  </si>
  <si>
    <t>-- Total execution of Spectrum Selector (1) took 2 min 56 s --</t>
  </si>
  <si>
    <t>Storing spectra took 1 min 40 s.</t>
  </si>
  <si>
    <t>Start Sequest HT target search for 81519 spectra (81519 precursors)...</t>
  </si>
  <si>
    <t>Ise (2.0.0.24, x64) started at 11/15/2022 3:25:05 PM on DESKTOP-2MISEU1 (x64) [36 CPUs] running Microsoft Windows NT 6.2.9200.0 (64bit) [.NET: 4.0.30319.42000]</t>
  </si>
  <si>
    <t>Average search time per spectrum was 0.8 ms.</t>
  </si>
  <si>
    <t>Performing target search took 1 min 2 s.</t>
  </si>
  <si>
    <t>Stored 104407 PSMs for 81519 spectra</t>
  </si>
  <si>
    <t>Discarded 304090 peptide(s) that did not match the conditions for protein terminal modifications.</t>
  </si>
  <si>
    <t>Reading search results took 15.7 s.</t>
  </si>
  <si>
    <t>Saving results took 10.6 s.</t>
  </si>
  <si>
    <t>Saving proteins took 1.8 s.</t>
  </si>
  <si>
    <t>Reading results took 28.4 s.</t>
  </si>
  <si>
    <t>There is already an adequate decoy FASTA index for cRAP_012915_NP(4f7e5b08-e338-4bd6-a9c0-abfe3f9944b3)_reversed.fasta.</t>
  </si>
  <si>
    <t>There is already an adequate decoy FASTA index for SGDyeast_20080728(6941213d-9dcd-4eaf-ac7f-f51cfd65cf72)_reversed.fasta.</t>
  </si>
  <si>
    <t>Start Sequest HT decoy search for 81519 spectra (81519 precursors)...</t>
  </si>
  <si>
    <t>Ise (2.0.0.24, x64) started at 11/15/2022 3:26:35 PM on DESKTOP-2MISEU1 (x64) [36 CPUs] running Microsoft Windows NT 6.2.9200.0 (64bit) [.NET: 4.0.30319.42000]</t>
  </si>
  <si>
    <t>Average search time per spectrum was 0.6 ms.</t>
  </si>
  <si>
    <t>Performing decoy search took 50.2 s.</t>
  </si>
  <si>
    <t>Stored 208593 decoy PSMs for 81519 spectra</t>
  </si>
  <si>
    <t>Discarded 314333 peptide(s) that did not match the conditions for protein terminal modifications.</t>
  </si>
  <si>
    <t>Reading search results took 51.8 s.</t>
  </si>
  <si>
    <t>Saving results took 29.8 s.</t>
  </si>
  <si>
    <t>Saving proteins took 9.7 s.</t>
  </si>
  <si>
    <t>Reading results took 1 min 31 s.</t>
  </si>
  <si>
    <t>Finalizing search results...</t>
  </si>
  <si>
    <t>-- Total search time was 3 min 55 s --</t>
  </si>
  <si>
    <t>(4) Percolator:</t>
  </si>
  <si>
    <t>Creating percolator input file with results from Sequest HT (2) took 2 min 50 s.</t>
  </si>
  <si>
    <t>The input file contains 57585 PSMs, 54496 decoy PSMs and 32 features.</t>
  </si>
  <si>
    <t>Generated percolator input for concatenated mode</t>
  </si>
  <si>
    <t>Percolator version 3.05.0, Build Date May 18 2020 02:35:01</t>
  </si>
  <si>
    <t>Copyright (c) 2006-9 University of Washington. All rights reserved.</t>
  </si>
  <si>
    <t>Written by Lukas K├ñll (lukall@u.washington.edu) in the</t>
  </si>
  <si>
    <t>Department of Genome Sciences at the University of Washington.</t>
  </si>
  <si>
    <t>Issued command:</t>
  </si>
  <si>
    <t>C:\Program Files\Thermo\Proteome Discoverer 2.5\Tools\Percolator\win\percolator.exe --num-threads 18 -s -X C:\ProgramData\Thermo\Proteome Discoverer 2.5\Scratch\Job5506\Percol(4)\output2.xml -N 0 -Z -Y C:\ProgramData\Thermo\Proteome Discoverer 2.5\Scratch\Job5506\Percol(4)\input2.tab</t>
  </si>
  <si>
    <t>Started Tue Nov 15 15:33:54 2022</t>
  </si>
  <si>
    <t>Hyperparameters: selectionFdr=0.01, Cpos=0, Cneg=0, maxNiter=10</t>
  </si>
  <si>
    <t>Reading tab-delimited input from datafile C:\ProgramData\Thermo\Proteome Discoverer 2.5\Scratch\Job5506\Percol(4)\input2.tab</t>
  </si>
  <si>
    <t>Features:</t>
  </si>
  <si>
    <t xml:space="preserve">XCorr Delta Cn From Second PSM Binomial Score Isolation Interference [%] MH+ [Da] Delta Mass [Da] Delta Mass [ppm] Absolute Delta Mass [Da] Absolute Delta Mass [ppm] Peptide Length Is z=1 Is z=2 Is z=3 Is z=4 Is z=5 Is z&gt;5 # Missed Cleavages Log Peptides Matched Log Total Intensity Fraction Matched Intensity [%] Fragment Coverage Series A, B, C [%] Fragment Coverage Series X, Y, Z [%] Log Matched Fragment Series Intensities A, B, C Log Matched Fragment Series Intensities X, Y, Z Longest Sequence Series A, B, C Longest Sequence Series X, Y, Z IQR Fragment Delta Mass [Da] IQR Fragment Delta Mass [ppm] Mean Fragment Delta Mass [Da] Mean Fragment Delta Mass [ppm] Mean Absolute Fragment Delta Mass [Da] Mean Absolute Fragment Delta Mass [ppm] </t>
  </si>
  <si>
    <t>Found 112081 PSMs</t>
  </si>
  <si>
    <t>Separate target and decoy search inputs detected, using target-decoy competition on Percolator scores.</t>
  </si>
  <si>
    <t>Train/test set contains 57585 positives and 54496 negatives, size ratio=1.05668 and pi0=1</t>
  </si>
  <si>
    <t>Selecting Cpos by cross-validation.</t>
  </si>
  <si>
    <t>Selecting Cneg by cross-validation.</t>
  </si>
  <si>
    <t>Split 1:</t>
  </si>
  <si>
    <t>Selected feature 26 as initial direction. Could separate 175 training set positives with q&lt;0.01 in that direction.</t>
  </si>
  <si>
    <t>Split 2:</t>
  </si>
  <si>
    <t>Selected feature 26 as initial direction. Could separate 310 training set positives with q&lt;0.01 in that direction.</t>
  </si>
  <si>
    <t>Split 3:</t>
  </si>
  <si>
    <t>Selected feature 26 as initial direction. Could separate 314 training set positives with q&lt;0.01 in that direction.</t>
  </si>
  <si>
    <t>Found 381 test set positives with q&lt;0.01 in initial direction</t>
  </si>
  <si>
    <t>Reading in data and feature calculation took 2.818 cpu seconds or 3 seconds wall clock time.</t>
  </si>
  <si>
    <t>---Training with Cpos selected by cross validation, Cneg selected by cross validation, initial_fdr=0.01, fdr=0.01</t>
  </si>
  <si>
    <t>Iteration 1:</t>
  </si>
  <si>
    <t>Estimated 802 PSMs with q&lt;0.01</t>
  </si>
  <si>
    <t>Iteration 2:</t>
  </si>
  <si>
    <t>Estimated 876 PSMs with q&lt;0.01</t>
  </si>
  <si>
    <t>Iteration 3:</t>
  </si>
  <si>
    <t>Estimated 886 PSMs with q&lt;0.01</t>
  </si>
  <si>
    <t>Iteration 4:</t>
  </si>
  <si>
    <t>Estimated 906 PSMs with q&lt;0.01</t>
  </si>
  <si>
    <t>Iteration 5:</t>
  </si>
  <si>
    <t>Estimated 915 PSMs with q&lt;0.01</t>
  </si>
  <si>
    <t>Iteration 6:</t>
  </si>
  <si>
    <t>Estimated 930 PSMs with q&lt;0.01</t>
  </si>
  <si>
    <t>Iteration 7:</t>
  </si>
  <si>
    <t>Estimated 933 PSMs with q&lt;0.01</t>
  </si>
  <si>
    <t>Iteration 8:</t>
  </si>
  <si>
    <t>Estimated 940 PSMs with q&lt;0.01</t>
  </si>
  <si>
    <t>Iteration 9:</t>
  </si>
  <si>
    <t>Estimated 949 PSMs with q&lt;0.01</t>
  </si>
  <si>
    <t>Iteration 10:</t>
  </si>
  <si>
    <t>Estimated 946 PSMs with q&lt;0.01</t>
  </si>
  <si>
    <t>Learned normalized SVM weights for the 3 cross-validation splits:</t>
  </si>
  <si>
    <t xml:space="preserve"> Split1</t>
  </si>
  <si>
    <t xml:space="preserve"> Split2</t>
  </si>
  <si>
    <t xml:space="preserve"> Split3</t>
  </si>
  <si>
    <t>FeatureName</t>
  </si>
  <si>
    <t>XCorr</t>
  </si>
  <si>
    <t>Delta Cn From Second PSM</t>
  </si>
  <si>
    <t>Binomial Score</t>
  </si>
  <si>
    <t>Isolation Interference [%]</t>
  </si>
  <si>
    <t>MH+ [Da]</t>
  </si>
  <si>
    <t>Delta Mass [Da]</t>
  </si>
  <si>
    <t>Delta Mass [ppm]</t>
  </si>
  <si>
    <t>Absolute Delta Mass [Da]</t>
  </si>
  <si>
    <t>Absolute Delta Mass [ppm]</t>
  </si>
  <si>
    <t>Peptide Length</t>
  </si>
  <si>
    <t>Is z=1</t>
  </si>
  <si>
    <t>Is z=2</t>
  </si>
  <si>
    <t>Is z=3</t>
  </si>
  <si>
    <t>Is z=4</t>
  </si>
  <si>
    <t>Is z=5</t>
  </si>
  <si>
    <t>Is z&gt;5</t>
  </si>
  <si>
    <t>Log Peptides Matched</t>
  </si>
  <si>
    <t>Log Total Intensity</t>
  </si>
  <si>
    <t>Fraction Matched Intensity [%]</t>
  </si>
  <si>
    <t>Fragment Coverage Series A, B, C [%]</t>
  </si>
  <si>
    <t>Fragment Coverage Series X, Y, Z [%]</t>
  </si>
  <si>
    <t>Log Matched Fragment Series Intensities A, B, C</t>
  </si>
  <si>
    <t>Log Matched Fragment Series Intensities X, Y, Z</t>
  </si>
  <si>
    <t>Longest Sequence Series A, B, C</t>
  </si>
  <si>
    <t>Longest Sequence Series X, Y, Z</t>
  </si>
  <si>
    <t>IQR Fragment Delta Mass [Da]</t>
  </si>
  <si>
    <t>IQR Fragment Delta Mass [ppm]</t>
  </si>
  <si>
    <t>Mean Fragment Delta Mass [Da]</t>
  </si>
  <si>
    <t>Mean Fragment Delta Mass [ppm]</t>
  </si>
  <si>
    <t>Mean Absolute Fragment Delta Mass [Da]</t>
  </si>
  <si>
    <t>Mean Absolute Fragment Delta Mass [ppm]</t>
  </si>
  <si>
    <t>m0</t>
  </si>
  <si>
    <t>Found 738 test set PSMs with q&lt;0.01.</t>
  </si>
  <si>
    <t>Selected best-scoring PSM per scan+expMass (target-decoy competition): 40141 target PSMs and 37523 decoy PSMs.</t>
  </si>
  <si>
    <t>Tossing out "redundant" PSMs keeping only the best scoring PSM for each unique peptide.</t>
  </si>
  <si>
    <t>Calculating q values.</t>
  </si>
  <si>
    <t>Final list yields 301 target peptides with q&lt;0.01.</t>
  </si>
  <si>
    <t>Calculating posterior error probabilities (PEPs).</t>
  </si>
  <si>
    <t>Processing took 11.39 cpu seconds or 11 seconds wall clock time.</t>
  </si>
  <si>
    <t>PSMId</t>
  </si>
  <si>
    <t>score</t>
  </si>
  <si>
    <t>q-value</t>
  </si>
  <si>
    <t>posterior_error_prob</t>
  </si>
  <si>
    <t>peptide</t>
  </si>
  <si>
    <t>proteinIds</t>
  </si>
  <si>
    <t>763/6 high confident target/decoy peptides were found for Sequest HT (2).</t>
  </si>
  <si>
    <t>232/42 medium confident target/decoy peptides were found for Sequest HT (2).</t>
  </si>
  <si>
    <t>-- Total execution of Percolator (64Bit) for Sequest HT (2) took 3 min 25 s --</t>
  </si>
  <si>
    <t>(5) IMP-ptmRS:</t>
  </si>
  <si>
    <t>Starting IMP-ptmRS node 2.0, IMP-ptmRS 1.0.0.0 - based on phosphoRS3 Taus T. et al., J. Proteome Res. 2011, 10, 5354-62</t>
  </si>
  <si>
    <t>More nodes and documentations can be found here http://ms.imp.ac.at/?goto=pd-nodes.</t>
  </si>
  <si>
    <t>Scoring with ptmRS (1.0.0.0) for Sequest HT (2) with a fragment ion mass tolerance of 0.6 m/z allowing a maximum of 10 PTMs with neutral loss and 500 isoforms per peptide.</t>
  </si>
  <si>
    <t>(5) Localizing 1xPhospho, elementTarget: S (delta mass: 79.9663, Neutral-losses:H(3) O(4) P - 97.976896)</t>
  </si>
  <si>
    <t>(5) Localizing 1xPhospho, elementTarget: T (delta mass: 79.9663, Neutral-losses:H(3) O(4) P - 97.976896)</t>
  </si>
  <si>
    <t>(5) FITs for CID_CAD: b, y; FITs with NLs: no</t>
  </si>
  <si>
    <t>(5) FITs for HCD: b, y; FITs with NLs: b, y</t>
  </si>
  <si>
    <t>(5) FITs for ECD_ETD: c, zRadical, zPrime; FITs with NLs: no</t>
  </si>
  <si>
    <t>(5) FITs for EThcD: b, y, c, zRadical, zPrime; FITs with NLs: b, y</t>
  </si>
  <si>
    <t xml:space="preserve">(5) Workload level: #spectra: 81519. </t>
  </si>
  <si>
    <t xml:space="preserve">(5) Workload level: #spectra per package: 81519. </t>
  </si>
  <si>
    <t xml:space="preserve">(5) Workload level: #parallel tasks: 36. </t>
  </si>
  <si>
    <t>Writing current ptmRS results to file. Puffer has following size 30000</t>
  </si>
  <si>
    <t>(5) Finished collecting spectra</t>
  </si>
  <si>
    <t>Writing current ptmRS results to file. Puffer has following size 29048</t>
  </si>
  <si>
    <t>-- Total execution of IMP-ptmRS (5) took 2 min 27 s --</t>
  </si>
  <si>
    <t>Finished D:\dmallett\111422_Eclipse\DM110422_111422_PD2_5\DM110422_111422_2.msf</t>
  </si>
  <si>
    <t>----- Total Job execution took: 17 min 11 s. -----</t>
  </si>
  <si>
    <t>Consensus Step : Workflow</t>
  </si>
  <si>
    <t>Result file: D:\dmallett\111422_Eclipse\DM110422_111422_PD2_5\DM110422_111422_2.pdResult</t>
  </si>
  <si>
    <t>Description: Result filtered for high confident peptides, with annotations from Protein Annotation Server and enhanced modification analysis including peptide isoforms and modification sites.</t>
  </si>
  <si>
    <t>Workflow based on template: CWF_Basic_ModificationAnalysis</t>
  </si>
  <si>
    <t>Creation date: 11/15/2022 3:03:03 PM</t>
  </si>
  <si>
    <t xml:space="preserve">  |-(0) MSF Files</t>
  </si>
  <si>
    <t xml:space="preserve">    |-(1) PSM Grouper</t>
  </si>
  <si>
    <t xml:space="preserve">      |-(2) Peptide Validator</t>
  </si>
  <si>
    <t xml:space="preserve">        |-(3) Peptide and Protein Filter</t>
  </si>
  <si>
    <t xml:space="preserve">          |-(4) Protein Scorer</t>
  </si>
  <si>
    <t xml:space="preserve">            |-(8) Protein FDR Validator</t>
  </si>
  <si>
    <t xml:space="preserve">            |-(5) Protein Grouping</t>
  </si>
  <si>
    <t xml:space="preserve">              |-(6) Modification Sites</t>
  </si>
  <si>
    <t xml:space="preserve">              |-(7) Peptide in Protein Annotation</t>
  </si>
  <si>
    <t xml:space="preserve">          |-(9) Peptide Isoform Grouper</t>
  </si>
  <si>
    <t xml:space="preserve">          |-(10) Protein Annotation</t>
  </si>
  <si>
    <t>Post-processing nodes:</t>
  </si>
  <si>
    <t>--------------------------------</t>
  </si>
  <si>
    <t xml:space="preserve">  |-(11) Display Settings</t>
  </si>
  <si>
    <t xml:space="preserve">  |-(12) Result Statistics</t>
  </si>
  <si>
    <t xml:space="preserve">  |-(13) Data Distributions</t>
  </si>
  <si>
    <t xml:space="preserve">  |-(14) Result Exporter</t>
  </si>
  <si>
    <t>Processing node 0: MSF Files</t>
  </si>
  <si>
    <t>1. Storage Settings:</t>
  </si>
  <si>
    <t>2. Merging of Identified Peptide and Proteins:</t>
  </si>
  <si>
    <t>3. FASTA Title Line Display:</t>
  </si>
  <si>
    <t>4. PSM Filters:</t>
  </si>
  <si>
    <t>- Maximum Delta Mass:  0 ppm</t>
  </si>
  <si>
    <t>Hidden Parameters:</t>
  </si>
  <si>
    <t>Processing node 1: PSM Grouper</t>
  </si>
  <si>
    <t>1. Peptide Group Modifications:</t>
  </si>
  <si>
    <t>- Site Probability Threshold:  75</t>
  </si>
  <si>
    <t>Processing node 2: Peptide Validator</t>
  </si>
  <si>
    <t>1. General Validation Settings:</t>
  </si>
  <si>
    <t>- Target FDR (Strict) for PSMs:  0.01</t>
  </si>
  <si>
    <t>- Target FDR (Relaxed) for PSMs:  0.05</t>
  </si>
  <si>
    <t>- Target FDR (Strict) for Peptides:  0.01</t>
  </si>
  <si>
    <t>- Target FDR (Relaxed) for Peptides:  0.05</t>
  </si>
  <si>
    <t>2. Specific Validation Settings:</t>
  </si>
  <si>
    <t>- Reset Confidences for Nodes without Decoy Search (Fixed score thresholds):  False</t>
  </si>
  <si>
    <t>Processing node 3: Peptide and Protein Filter</t>
  </si>
  <si>
    <t>1. Peptide Filters:</t>
  </si>
  <si>
    <t>- Keep Lower Confident PSMs:  False</t>
  </si>
  <si>
    <t>- Minimum Peptide Length:  6</t>
  </si>
  <si>
    <t>- Remove Peptides Without Protein Reference:  False</t>
  </si>
  <si>
    <t>2. Protein Filters:</t>
  </si>
  <si>
    <t>- Minimum Number of Peptide Sequences:  1</t>
  </si>
  <si>
    <t>- Count Only Rank 1 Peptides:  False</t>
  </si>
  <si>
    <t>- Count Peptides Only for Top Scored Protein:  False</t>
  </si>
  <si>
    <t>Processing node 4: Protein Scorer</t>
  </si>
  <si>
    <t>No parameters</t>
  </si>
  <si>
    <t>Processing node 8: Protein FDR Validator</t>
  </si>
  <si>
    <t>1. Confidence Thresholds:</t>
  </si>
  <si>
    <t>Processing node 5: Protein Grouping</t>
  </si>
  <si>
    <t>1. Protein Grouping:</t>
  </si>
  <si>
    <t>- Apply strict parsimony principle:  True</t>
  </si>
  <si>
    <t>Processing node 6: Modification Sites</t>
  </si>
  <si>
    <t>1. General:</t>
  </si>
  <si>
    <t>- Only Master Proteins:  True</t>
  </si>
  <si>
    <t>- Motif Radius:  6</t>
  </si>
  <si>
    <t>Processing node 7: Peptide in Protein Annotation</t>
  </si>
  <si>
    <t>1. Flanking Residues:</t>
  </si>
  <si>
    <t>- Annotate Flanking Residues of the Peptide:  True</t>
  </si>
  <si>
    <t>- Number Flanking Residues in Connection Tables:  1</t>
  </si>
  <si>
    <t>2. Modifications in Peptide:</t>
  </si>
  <si>
    <t>3. Modifications in Protein:</t>
  </si>
  <si>
    <t>4. Positions in Protein:</t>
  </si>
  <si>
    <t>Processing node 9: Peptide Isoform Grouper</t>
  </si>
  <si>
    <t>Processing node 10: Protein Annotation</t>
  </si>
  <si>
    <t>1. Annotation Aspects:</t>
  </si>
  <si>
    <t>- 1. Aspect:  Biological Process</t>
  </si>
  <si>
    <t>- 2. Aspect:  Cellular Component</t>
  </si>
  <si>
    <t>- 3. Aspect:  Molecular Function</t>
  </si>
  <si>
    <t>- 4. Aspect:  None</t>
  </si>
  <si>
    <t>- 5. Aspect:  None</t>
  </si>
  <si>
    <t>- 6. Aspect:  None</t>
  </si>
  <si>
    <t>2. Annotation/Pathway Groups:</t>
  </si>
  <si>
    <t>Processing node 11: Display Settings</t>
  </si>
  <si>
    <t>- Filter Set:</t>
  </si>
  <si>
    <t>###   Filter Set MasterProteinFilter.filterset contains the following filters:</t>
  </si>
  <si>
    <t>###   Row Filter for TargetProtein:</t>
  </si>
  <si>
    <t>###   Master is equal to Master</t>
  </si>
  <si>
    <t>###</t>
  </si>
  <si>
    <t>'magellan filter set' 1 'MasterProteinFilter.filterset'  FiltersetProperties 1  'LastFileName' 'C:\Users\frank.berg\Desktop\MasterProteinFilter.filterset' Filter 'TargetProtein' 1 NARY_AND 1 = FilterConditionProperties 1  'NamedComparableFilterCondition/DisplayPropertyHint' 'Master' property 'Thermo.PD.EntityDataFramework.MasterProteinAssessment, Thermo.Magellan.EntityDataFramework' 'IsMasterProtein' constant 'Thermo.PD.EntityDataFramework.MasterProteinAssessment, Thermo.Magellan.EntityDataFramework' 'IsMasterProtein'</t>
  </si>
  <si>
    <t>Processing node 12: Result Statistics</t>
  </si>
  <si>
    <t>Processing node 13: Data Distributions</t>
  </si>
  <si>
    <t>1. ID Distributions (Bottom-up):</t>
  </si>
  <si>
    <t>Processing node 14: Result Exporter</t>
  </si>
  <si>
    <t>1. Output Data:</t>
  </si>
  <si>
    <t>- R-friendly Headers:  False</t>
  </si>
  <si>
    <t>Processing D:\dmallett\111422_Eclipse\DM110422_111422_PD2_5\DM110422_111422_2.pdResult</t>
  </si>
  <si>
    <t>(0) MSF Files:</t>
  </si>
  <si>
    <t>D:\dmallett\111422_Eclipse\DM110422_111422_PD2_5\DM110422_111422_2.msf</t>
  </si>
  <si>
    <t>All 1 files are ready for processing.</t>
  </si>
  <si>
    <t>Warnings reported in at least one input processing workflow (check processing summary).</t>
  </si>
  <si>
    <t>Start transferring results of 1 msf files...</t>
  </si>
  <si>
    <t>Transferred 5631 Proteins to result file in 4.7 s.</t>
  </si>
  <si>
    <t>Transferred 5568 Decoy Proteins to result file in 5.1 s.</t>
  </si>
  <si>
    <t>Added 77664 Mass Spectra to result file.</t>
  </si>
  <si>
    <t>Added 8 traces to result file.</t>
  </si>
  <si>
    <t>Added 1 Input Files to result file.</t>
  </si>
  <si>
    <t>Added 40763 PSMs to result file.</t>
  </si>
  <si>
    <t>Added 38138 Decoy PSMs to result file.</t>
  </si>
  <si>
    <t>Added 81519 MS/MS Spectrum Info to result file.</t>
  </si>
  <si>
    <t>Added 81519 Precursors to result file.</t>
  </si>
  <si>
    <t>Added 1 Mass Recalibrations to result file.</t>
  </si>
  <si>
    <t>Added 234 Correction Landmarks to result file.</t>
  </si>
  <si>
    <t>Added 8 Specialized Traces to result file.</t>
  </si>
  <si>
    <t>Copying data took 1 min 12 s.</t>
  </si>
  <si>
    <t>Finding unique sequences took 10.8 s.</t>
  </si>
  <si>
    <t>Filtering proteins took 1.4 s.</t>
  </si>
  <si>
    <t>-- Total execution of MSF Files (0) took 2 min 8 s --</t>
  </si>
  <si>
    <t>(1) PSM Grouper:</t>
  </si>
  <si>
    <t>Grouping 'PSMs'</t>
  </si>
  <si>
    <t>Found 36727 Peptide Groups.</t>
  </si>
  <si>
    <t>Grouping 'Decoy PSMs'</t>
  </si>
  <si>
    <t>Found 35183 Decoy Peptide Groups.</t>
  </si>
  <si>
    <t>-- Total execution of PSM Grouper (1) took 4 min 31 s --</t>
  </si>
  <si>
    <t>(2) Peptide Validator:</t>
  </si>
  <si>
    <t>Start PSM and Peptide validation in 'Automatic (Control peptide level error rate if possible)' mode...</t>
  </si>
  <si>
    <t>Updated PSM confidences in 3.4 s.</t>
  </si>
  <si>
    <t>Use svm score for 'peptide' qvality run.</t>
  </si>
  <si>
    <t>Updated peptide confidences using qvality in 24.6 s.</t>
  </si>
  <si>
    <t>Calculating Mascot thresholds.</t>
  </si>
  <si>
    <t>-- Total execution of Peptide Validator (2) took 28.2 s --</t>
  </si>
  <si>
    <t>(3) Peptide and Protein Filter:</t>
  </si>
  <si>
    <t>Filter Peptide Groups</t>
  </si>
  <si>
    <t>Filter 312/36727 Peptide Groups (36415 excluded) and 744/40763 PSMs (40019 excluded) took 6.6 s</t>
  </si>
  <si>
    <t>Filtering Proteins</t>
  </si>
  <si>
    <t>Filter 115/5631 Proteins (5516 excluded) took 766.2 ms</t>
  </si>
  <si>
    <t>Filter Decoy Peptide Groups</t>
  </si>
  <si>
    <t>Filter 2/35183 Decoy Peptide Groups (35181 excluded) and 2/38138 Decoy PSMs (38136 excluded) took 6.7 s</t>
  </si>
  <si>
    <t>Filtering Decoy Proteins</t>
  </si>
  <si>
    <t>Filter 2/5568 Decoy Proteins (5566 excluded) took 508.6 ms</t>
  </si>
  <si>
    <t>Updating counts took 13.7 s.</t>
  </si>
  <si>
    <t>-- Total execution of Peptide and Protein Filter (3) took 29 s --</t>
  </si>
  <si>
    <t>(4) Protein Scorer:</t>
  </si>
  <si>
    <t>Calculating Coverage and Counts</t>
  </si>
  <si>
    <t>Calculated counts and coverages in 271 ms.</t>
  </si>
  <si>
    <t>Scoring target proteins</t>
  </si>
  <si>
    <t>Scored 115 proteins in 834.8 ms.</t>
  </si>
  <si>
    <t>Scoring decoy proteins</t>
  </si>
  <si>
    <t>Scored 2 decoy proteins in 189.1 ms.</t>
  </si>
  <si>
    <t>-- Total execution of Protein Scorer (4) took 1.5 s --</t>
  </si>
  <si>
    <t>(8) Protein FDR Validator:</t>
  </si>
  <si>
    <t>Apply confidences based on protein scores of 115 proteins.</t>
  </si>
  <si>
    <t>Calculating Sum PEP Score for Proteins</t>
  </si>
  <si>
    <t>Calculating Sum PEP Score for Decoy Proteins</t>
  </si>
  <si>
    <t>-- Total execution of Protein FDR Validator (8) took 1 s --</t>
  </si>
  <si>
    <t>(5) Protein Grouping:</t>
  </si>
  <si>
    <t>Retrieving 67 protein groups took 17.1 ms.</t>
  </si>
  <si>
    <t>Storing, updating and connecting protein groups, PSMs and peptides took 2.4 s.</t>
  </si>
  <si>
    <t>Check 67 protein groups.</t>
  </si>
  <si>
    <t>Applying strict parsimony took 3.9 s.</t>
  </si>
  <si>
    <t>Found 62 protein groups.</t>
  </si>
  <si>
    <t>Retrieving 2 decoy protein groups took 6 ms.</t>
  </si>
  <si>
    <t>Storing, updating and connecting protein groups, PSMs and peptides took 1.4 s.</t>
  </si>
  <si>
    <t>Found 2 decoy protein groups.</t>
  </si>
  <si>
    <t>-- Total execution of Protein Grouping (5) took 9.2 s --</t>
  </si>
  <si>
    <t>(9) Peptide Isoform Grouper:</t>
  </si>
  <si>
    <t>Grouping PSMs by modification isoform</t>
  </si>
  <si>
    <t>Found 313 Peptide Isoforms.</t>
  </si>
  <si>
    <t>Found 2 Decoy Peptide Isoforms.</t>
  </si>
  <si>
    <t>-- Total execution of Peptide Isoform Grouper (9) took 3 min 52 s --</t>
  </si>
  <si>
    <t>(6) Modification Sites:</t>
  </si>
  <si>
    <t>Start extracting Modification Sites.</t>
  </si>
  <si>
    <t>Extracting Modification Sites</t>
  </si>
  <si>
    <t>Annotated PSMs/peptides for 115 proteins.</t>
  </si>
  <si>
    <t>Start connecting Modification Sites with PSMs.</t>
  </si>
  <si>
    <t>Connecting Modification Sites</t>
  </si>
  <si>
    <t>Connected Modification sites with PSMs and Peptide Groups for 115 proteins.</t>
  </si>
  <si>
    <t>Connected Modification sites with PTM Peptide Groups for 115 proteins.</t>
  </si>
  <si>
    <t>-- Total execution of Modification Sites (6) took 6.4 s --</t>
  </si>
  <si>
    <t>(7) Peptide in Protein Annotation:</t>
  </si>
  <si>
    <t>Start retrieving flanking residues and positions...</t>
  </si>
  <si>
    <t>Start annotating peptide groups with flanking residues and positions...</t>
  </si>
  <si>
    <t>Annotate Peptide Groups items</t>
  </si>
  <si>
    <t>Annotate Peptide Isoforms items</t>
  </si>
  <si>
    <t>Start calculating protein coverage...</t>
  </si>
  <si>
    <t>-- Total execution of Peptide in Protein Annotation (7) took 18.3 s --</t>
  </si>
  <si>
    <t>(10) Protein Annotation:</t>
  </si>
  <si>
    <t>Using annotation server https://proteinannotationservice.thermofisher.com/.</t>
  </si>
  <si>
    <t>Protein annotation might take significantly long time if outdated or on-disk FASTA files are used.</t>
  </si>
  <si>
    <t>Save annotations of SGDyeast_20080728.fasta in result file...</t>
  </si>
  <si>
    <t>Start saving annotation descriptions in result file</t>
  </si>
  <si>
    <t>Retrieving annotations from the Proteome Discoverer protein knowledge-base.</t>
  </si>
  <si>
    <t>No chromosome information available, no "Chromosome" column created.</t>
  </si>
  <si>
    <t>Found annotations for 115 of 115 proteins.</t>
  </si>
  <si>
    <t>Found 1520 annotation groups.</t>
  </si>
  <si>
    <t>Found 513 pathway groups.</t>
  </si>
  <si>
    <t>Calculating associated data for annotation and pathway groups.</t>
  </si>
  <si>
    <t>Preparing the annotation and pathway groups for result file</t>
  </si>
  <si>
    <t>Discrepancies found in 10 annotation groups (# Total Proteins &lt; # Identified Proteins!). To get accurate and non-conflicting annotation results it is recommended to use the same protein database(s) used in the search node(s) to annotate the annotation groups.</t>
  </si>
  <si>
    <t>-- Total execution of Protein Annotation (10) took 30.5 s --</t>
  </si>
  <si>
    <t>(12) Result Statistics:</t>
  </si>
  <si>
    <t>-- Total execution of Result Statistics (12) took 4.5 s --</t>
  </si>
  <si>
    <t>(11) Display Settings:</t>
  </si>
  <si>
    <t>Applying display filter and layout</t>
  </si>
  <si>
    <t>-- Total execution of Display Settings (11) took 72.4 ms --</t>
  </si>
  <si>
    <t>(13) Data Distributions:</t>
  </si>
  <si>
    <t>Calculating found for samples</t>
  </si>
  <si>
    <t>Calculating found for sample groups</t>
  </si>
  <si>
    <t>-- Total execution of Data Distributions (13) took 1.2 s --</t>
  </si>
  <si>
    <t>(14) Result Exporter:</t>
  </si>
  <si>
    <t>Start exporting results to D:\dmallett\111422_Eclipse\DM110422_111422_PD2_5\DM110422_111422_2.txt...</t>
  </si>
  <si>
    <t>-- Total execution of Result Exporter (14) took 13.7 s --</t>
  </si>
  <si>
    <t>Finalizing file took 24 s.</t>
  </si>
  <si>
    <t>Finished D:\dmallett\111422_Eclipse\DM110422_111422_PD2_5\DM110422_111422_2.pdResult</t>
  </si>
  <si>
    <t>----- Total Job execution took: 13 min 21 s. 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</si>
</sst>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F0CBA8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540"/>
  <sheetViews>
    <sheetView tabSelected="1" topLeftCell="A2" workbookViewId="0"/>
  </sheetViews>
  <sheetFormatPr baseColWidth="10" defaultColWidth="8.83203125" defaultRowHeight="15" outlineLevelRow="1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collapsed="1" x14ac:dyDescent="0.2">
      <c r="A2" s="3" t="s">
        <v>30</v>
      </c>
      <c r="B2" s="3" t="s">
        <v>31</v>
      </c>
      <c r="C2" s="3" t="s">
        <v>32</v>
      </c>
      <c r="D2" s="3" t="s">
        <v>33</v>
      </c>
      <c r="E2" s="3">
        <v>0</v>
      </c>
      <c r="F2" s="3">
        <v>95.370999999999995</v>
      </c>
      <c r="G2" s="3">
        <v>52</v>
      </c>
      <c r="H2" s="3">
        <v>33</v>
      </c>
      <c r="I2" s="3">
        <v>38</v>
      </c>
      <c r="J2" s="3">
        <v>133</v>
      </c>
      <c r="K2" s="3">
        <v>30</v>
      </c>
      <c r="L2" s="3">
        <v>644</v>
      </c>
      <c r="M2" s="3">
        <v>66</v>
      </c>
      <c r="N2" s="3">
        <v>8.1199999999999992</v>
      </c>
      <c r="O2" s="3">
        <v>212.62</v>
      </c>
      <c r="P2" s="3">
        <v>33</v>
      </c>
      <c r="Q2" s="3" t="s">
        <v>34</v>
      </c>
      <c r="R2" s="3" t="s">
        <v>34</v>
      </c>
      <c r="S2" s="3" t="s">
        <v>34</v>
      </c>
      <c r="T2" s="3" t="s">
        <v>34</v>
      </c>
      <c r="U2" s="3" t="s">
        <v>34</v>
      </c>
      <c r="V2" s="3" t="s">
        <v>32</v>
      </c>
      <c r="W2" s="3" t="s">
        <v>34</v>
      </c>
      <c r="X2" s="3" t="s">
        <v>34</v>
      </c>
      <c r="Y2" s="3" t="s">
        <v>34</v>
      </c>
      <c r="Z2" s="3" t="s">
        <v>34</v>
      </c>
      <c r="AA2" s="3">
        <v>0</v>
      </c>
      <c r="AB2" s="3" t="s">
        <v>30</v>
      </c>
      <c r="AC2" s="3">
        <v>1</v>
      </c>
      <c r="AD2" s="3" t="s">
        <v>35</v>
      </c>
    </row>
    <row r="3" spans="1:30" hidden="1" outlineLevel="1" collapsed="1" x14ac:dyDescent="0.2">
      <c r="A3" t="s">
        <v>34</v>
      </c>
      <c r="B3" s="2" t="s">
        <v>36</v>
      </c>
      <c r="C3" s="2" t="s">
        <v>37</v>
      </c>
      <c r="D3" s="2" t="s">
        <v>29</v>
      </c>
      <c r="E3" s="2" t="s">
        <v>38</v>
      </c>
      <c r="F3" s="2" t="s">
        <v>39</v>
      </c>
      <c r="G3" s="2" t="s">
        <v>28</v>
      </c>
      <c r="H3" s="2" t="s">
        <v>40</v>
      </c>
      <c r="I3" s="2" t="s">
        <v>8</v>
      </c>
      <c r="J3" s="2" t="s">
        <v>9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27</v>
      </c>
      <c r="Q3" s="2" t="s">
        <v>46</v>
      </c>
      <c r="R3" s="2" t="s">
        <v>47</v>
      </c>
      <c r="S3" s="2" t="s">
        <v>48</v>
      </c>
      <c r="T3" s="2" t="s">
        <v>49</v>
      </c>
    </row>
    <row r="4" spans="1:30" hidden="1" outlineLevel="1" collapsed="1" x14ac:dyDescent="0.2">
      <c r="A4" t="s">
        <v>34</v>
      </c>
      <c r="B4" s="4" t="s">
        <v>30</v>
      </c>
      <c r="C4" s="4" t="s">
        <v>50</v>
      </c>
      <c r="D4" s="4" t="s">
        <v>34</v>
      </c>
      <c r="E4" s="4">
        <v>7.3269499999999996E-3</v>
      </c>
      <c r="F4" s="4">
        <v>3.7876699999999999E-3</v>
      </c>
      <c r="G4" s="4">
        <v>1</v>
      </c>
      <c r="H4" s="4">
        <v>2</v>
      </c>
      <c r="I4" s="4">
        <v>1</v>
      </c>
      <c r="J4" s="4">
        <v>3</v>
      </c>
      <c r="K4" s="4" t="s">
        <v>32</v>
      </c>
      <c r="L4" s="4" t="s">
        <v>51</v>
      </c>
      <c r="M4" s="4" t="s">
        <v>34</v>
      </c>
      <c r="N4" s="4">
        <v>0</v>
      </c>
      <c r="O4" s="4">
        <v>1125.54224</v>
      </c>
      <c r="P4" s="4" t="s">
        <v>30</v>
      </c>
      <c r="Q4" s="4" t="s">
        <v>30</v>
      </c>
      <c r="R4" s="4">
        <v>1.7669999999999999E-3</v>
      </c>
      <c r="S4" s="4">
        <v>2.5119999999999999E-3</v>
      </c>
      <c r="T4" s="4">
        <v>2.2400000000000002</v>
      </c>
    </row>
    <row r="5" spans="1:30" hidden="1" outlineLevel="1" collapsed="1" x14ac:dyDescent="0.2">
      <c r="A5" t="s">
        <v>34</v>
      </c>
      <c r="B5" s="4" t="s">
        <v>30</v>
      </c>
      <c r="C5" s="4" t="s">
        <v>52</v>
      </c>
      <c r="D5" s="4" t="s">
        <v>34</v>
      </c>
      <c r="E5" s="4">
        <v>1.3432599999999999E-2</v>
      </c>
      <c r="F5" s="4">
        <v>3.7876699999999999E-3</v>
      </c>
      <c r="G5" s="4">
        <v>1</v>
      </c>
      <c r="H5" s="4">
        <v>1</v>
      </c>
      <c r="I5" s="4">
        <v>1</v>
      </c>
      <c r="J5" s="4">
        <v>9</v>
      </c>
      <c r="K5" s="4" t="s">
        <v>32</v>
      </c>
      <c r="L5" s="4" t="s">
        <v>53</v>
      </c>
      <c r="M5" s="4" t="s">
        <v>34</v>
      </c>
      <c r="N5" s="4">
        <v>0</v>
      </c>
      <c r="O5" s="4">
        <v>1065.5211099999999</v>
      </c>
      <c r="P5" s="4" t="s">
        <v>30</v>
      </c>
      <c r="Q5" s="4" t="s">
        <v>30</v>
      </c>
      <c r="R5" s="4">
        <v>1.7669999999999999E-3</v>
      </c>
      <c r="S5" s="4">
        <v>4.9430000000000003E-3</v>
      </c>
      <c r="T5" s="4">
        <v>1.62</v>
      </c>
    </row>
    <row r="6" spans="1:30" hidden="1" outlineLevel="1" collapsed="1" x14ac:dyDescent="0.2">
      <c r="A6" t="s">
        <v>34</v>
      </c>
      <c r="B6" s="4" t="s">
        <v>30</v>
      </c>
      <c r="C6" s="4" t="s">
        <v>54</v>
      </c>
      <c r="D6" s="4" t="s">
        <v>34</v>
      </c>
      <c r="E6" s="4">
        <v>0.10165299999999999</v>
      </c>
      <c r="F6" s="4">
        <v>3.7876699999999999E-3</v>
      </c>
      <c r="G6" s="4">
        <v>1</v>
      </c>
      <c r="H6" s="4">
        <v>1</v>
      </c>
      <c r="I6" s="4">
        <v>1</v>
      </c>
      <c r="J6" s="4">
        <v>1</v>
      </c>
      <c r="K6" s="4" t="s">
        <v>32</v>
      </c>
      <c r="L6" s="4" t="s">
        <v>55</v>
      </c>
      <c r="M6" s="4" t="s">
        <v>34</v>
      </c>
      <c r="N6" s="4">
        <v>1</v>
      </c>
      <c r="O6" s="4">
        <v>1280.6481100000001</v>
      </c>
      <c r="P6" s="4" t="s">
        <v>30</v>
      </c>
      <c r="Q6" s="4" t="s">
        <v>30</v>
      </c>
      <c r="R6" s="4">
        <v>1.7669999999999999E-3</v>
      </c>
      <c r="S6" s="4">
        <v>4.8410000000000002E-2</v>
      </c>
      <c r="T6" s="4">
        <v>2.38</v>
      </c>
    </row>
    <row r="7" spans="1:30" hidden="1" outlineLevel="1" collapsed="1" x14ac:dyDescent="0.2">
      <c r="A7" t="s">
        <v>34</v>
      </c>
      <c r="B7" s="4" t="s">
        <v>30</v>
      </c>
      <c r="C7" s="4" t="s">
        <v>56</v>
      </c>
      <c r="D7" s="4" t="s">
        <v>34</v>
      </c>
      <c r="E7" s="4">
        <v>2.6709799999999999E-2</v>
      </c>
      <c r="F7" s="4">
        <v>3.7876699999999999E-3</v>
      </c>
      <c r="G7" s="4">
        <v>1</v>
      </c>
      <c r="H7" s="4">
        <v>2</v>
      </c>
      <c r="I7" s="4">
        <v>1</v>
      </c>
      <c r="J7" s="4">
        <v>1</v>
      </c>
      <c r="K7" s="4" t="s">
        <v>32</v>
      </c>
      <c r="L7" s="4" t="s">
        <v>57</v>
      </c>
      <c r="M7" s="4" t="s">
        <v>34</v>
      </c>
      <c r="N7" s="4">
        <v>0</v>
      </c>
      <c r="O7" s="4">
        <v>999.44516999999996</v>
      </c>
      <c r="P7" s="4" t="s">
        <v>30</v>
      </c>
      <c r="Q7" s="4" t="s">
        <v>30</v>
      </c>
      <c r="R7" s="4">
        <v>1.7669999999999999E-3</v>
      </c>
      <c r="S7" s="4">
        <v>1.068E-2</v>
      </c>
      <c r="T7" s="4">
        <v>1.92</v>
      </c>
    </row>
    <row r="8" spans="1:30" hidden="1" outlineLevel="1" collapsed="1" x14ac:dyDescent="0.2">
      <c r="A8" t="s">
        <v>34</v>
      </c>
      <c r="B8" s="4" t="s">
        <v>30</v>
      </c>
      <c r="C8" s="4" t="s">
        <v>56</v>
      </c>
      <c r="D8" s="4" t="s">
        <v>58</v>
      </c>
      <c r="E8" s="4">
        <v>2.02781E-2</v>
      </c>
      <c r="F8" s="4">
        <v>3.7876699999999999E-3</v>
      </c>
      <c r="G8" s="4">
        <v>1</v>
      </c>
      <c r="H8" s="4">
        <v>2</v>
      </c>
      <c r="I8" s="4">
        <v>1</v>
      </c>
      <c r="J8" s="4">
        <v>8</v>
      </c>
      <c r="K8" s="4" t="s">
        <v>32</v>
      </c>
      <c r="L8" s="4" t="s">
        <v>57</v>
      </c>
      <c r="M8" s="4" t="s">
        <v>34</v>
      </c>
      <c r="N8" s="4">
        <v>0</v>
      </c>
      <c r="O8" s="4">
        <v>1015.4400900000001</v>
      </c>
      <c r="P8" s="4" t="s">
        <v>30</v>
      </c>
      <c r="Q8" s="4" t="s">
        <v>30</v>
      </c>
      <c r="R8" s="4">
        <v>1.7669999999999999E-3</v>
      </c>
      <c r="S8" s="4">
        <v>7.8390000000000005E-3</v>
      </c>
      <c r="T8" s="4">
        <v>2.12</v>
      </c>
    </row>
    <row r="9" spans="1:30" hidden="1" outlineLevel="1" collapsed="1" x14ac:dyDescent="0.2">
      <c r="A9" t="s">
        <v>34</v>
      </c>
      <c r="B9" s="4" t="s">
        <v>30</v>
      </c>
      <c r="C9" s="4" t="s">
        <v>59</v>
      </c>
      <c r="D9" s="4" t="s">
        <v>34</v>
      </c>
      <c r="E9" s="4">
        <v>3.1770300000000001E-2</v>
      </c>
      <c r="F9" s="4">
        <v>3.7876699999999999E-3</v>
      </c>
      <c r="G9" s="4">
        <v>1</v>
      </c>
      <c r="H9" s="4">
        <v>2</v>
      </c>
      <c r="I9" s="4">
        <v>1</v>
      </c>
      <c r="J9" s="4">
        <v>2</v>
      </c>
      <c r="K9" s="4" t="s">
        <v>32</v>
      </c>
      <c r="L9" s="4" t="s">
        <v>60</v>
      </c>
      <c r="M9" s="4" t="s">
        <v>34</v>
      </c>
      <c r="N9" s="4">
        <v>0</v>
      </c>
      <c r="O9" s="4">
        <v>1141.5193999999999</v>
      </c>
      <c r="P9" s="4" t="s">
        <v>30</v>
      </c>
      <c r="Q9" s="4" t="s">
        <v>30</v>
      </c>
      <c r="R9" s="4">
        <v>1.7669999999999999E-3</v>
      </c>
      <c r="S9" s="4">
        <v>1.291E-2</v>
      </c>
      <c r="T9" s="4">
        <v>2</v>
      </c>
    </row>
    <row r="10" spans="1:30" hidden="1" outlineLevel="1" collapsed="1" x14ac:dyDescent="0.2">
      <c r="A10" t="s">
        <v>34</v>
      </c>
      <c r="B10" s="4" t="s">
        <v>30</v>
      </c>
      <c r="C10" s="4" t="s">
        <v>59</v>
      </c>
      <c r="D10" s="4" t="s">
        <v>61</v>
      </c>
      <c r="E10" s="4">
        <v>4.91423E-2</v>
      </c>
      <c r="F10" s="4">
        <v>3.7876699999999999E-3</v>
      </c>
      <c r="G10" s="4">
        <v>1</v>
      </c>
      <c r="H10" s="4">
        <v>2</v>
      </c>
      <c r="I10" s="4">
        <v>1</v>
      </c>
      <c r="J10" s="4">
        <v>11</v>
      </c>
      <c r="K10" s="4" t="s">
        <v>32</v>
      </c>
      <c r="L10" s="4" t="s">
        <v>60</v>
      </c>
      <c r="M10" s="4" t="s">
        <v>34</v>
      </c>
      <c r="N10" s="4">
        <v>0</v>
      </c>
      <c r="O10" s="4">
        <v>1157.51432</v>
      </c>
      <c r="P10" s="4" t="s">
        <v>30</v>
      </c>
      <c r="Q10" s="4" t="s">
        <v>30</v>
      </c>
      <c r="R10" s="4">
        <v>1.7669999999999999E-3</v>
      </c>
      <c r="S10" s="4">
        <v>2.1180000000000001E-2</v>
      </c>
      <c r="T10" s="4">
        <v>2.0499999999999998</v>
      </c>
    </row>
    <row r="11" spans="1:30" hidden="1" outlineLevel="1" collapsed="1" x14ac:dyDescent="0.2">
      <c r="A11" t="s">
        <v>34</v>
      </c>
      <c r="B11" s="4" t="s">
        <v>30</v>
      </c>
      <c r="C11" s="4" t="s">
        <v>62</v>
      </c>
      <c r="D11" s="4" t="s">
        <v>34</v>
      </c>
      <c r="E11" s="4">
        <v>5.22841E-2</v>
      </c>
      <c r="F11" s="4">
        <v>3.7876699999999999E-3</v>
      </c>
      <c r="G11" s="4">
        <v>3</v>
      </c>
      <c r="H11" s="4">
        <v>4</v>
      </c>
      <c r="I11" s="4">
        <v>1</v>
      </c>
      <c r="J11" s="4">
        <v>1</v>
      </c>
      <c r="K11" s="4" t="s">
        <v>63</v>
      </c>
      <c r="L11" s="4" t="s">
        <v>64</v>
      </c>
      <c r="M11" s="4" t="s">
        <v>34</v>
      </c>
      <c r="N11" s="4">
        <v>0</v>
      </c>
      <c r="O11" s="4">
        <v>1475.7852700000001</v>
      </c>
      <c r="P11" s="4" t="s">
        <v>30</v>
      </c>
      <c r="Q11" s="4" t="s">
        <v>30</v>
      </c>
      <c r="R11" s="4">
        <v>1.7669999999999999E-3</v>
      </c>
      <c r="S11" s="4">
        <v>2.2710000000000001E-2</v>
      </c>
      <c r="T11" s="4">
        <v>2.21</v>
      </c>
    </row>
    <row r="12" spans="1:30" hidden="1" outlineLevel="1" collapsed="1" x14ac:dyDescent="0.2">
      <c r="A12" t="s">
        <v>34</v>
      </c>
      <c r="B12" s="4" t="s">
        <v>30</v>
      </c>
      <c r="C12" s="4" t="s">
        <v>65</v>
      </c>
      <c r="D12" s="4" t="s">
        <v>66</v>
      </c>
      <c r="E12" s="4">
        <v>0.243038</v>
      </c>
      <c r="F12" s="4">
        <v>9.5666499999999995E-3</v>
      </c>
      <c r="G12" s="4">
        <v>1</v>
      </c>
      <c r="H12" s="4">
        <v>2</v>
      </c>
      <c r="I12" s="4">
        <v>1</v>
      </c>
      <c r="J12" s="4">
        <v>1</v>
      </c>
      <c r="K12" s="4" t="s">
        <v>32</v>
      </c>
      <c r="L12" s="4" t="s">
        <v>67</v>
      </c>
      <c r="M12" s="4" t="s">
        <v>34</v>
      </c>
      <c r="N12" s="4">
        <v>0</v>
      </c>
      <c r="O12" s="4">
        <v>1765.73471</v>
      </c>
      <c r="P12" s="4" t="s">
        <v>30</v>
      </c>
      <c r="Q12" s="4" t="s">
        <v>30</v>
      </c>
      <c r="R12" s="4">
        <v>4.1380000000000002E-3</v>
      </c>
      <c r="S12" s="4">
        <v>0.13420000000000001</v>
      </c>
      <c r="T12" s="4">
        <v>1.39</v>
      </c>
    </row>
    <row r="13" spans="1:30" hidden="1" outlineLevel="1" collapsed="1" x14ac:dyDescent="0.2">
      <c r="A13" t="s">
        <v>34</v>
      </c>
      <c r="B13" s="4" t="s">
        <v>30</v>
      </c>
      <c r="C13" s="4" t="s">
        <v>68</v>
      </c>
      <c r="D13" s="4" t="s">
        <v>34</v>
      </c>
      <c r="E13" s="4">
        <v>9.6128600000000008E-3</v>
      </c>
      <c r="F13" s="4">
        <v>3.7876699999999999E-3</v>
      </c>
      <c r="G13" s="4">
        <v>1</v>
      </c>
      <c r="H13" s="4">
        <v>2</v>
      </c>
      <c r="I13" s="4">
        <v>1</v>
      </c>
      <c r="J13" s="4">
        <v>1</v>
      </c>
      <c r="K13" s="4" t="s">
        <v>32</v>
      </c>
      <c r="L13" s="4" t="s">
        <v>69</v>
      </c>
      <c r="M13" s="4" t="s">
        <v>34</v>
      </c>
      <c r="N13" s="4">
        <v>0</v>
      </c>
      <c r="O13" s="4">
        <v>1217.61608</v>
      </c>
      <c r="P13" s="4" t="s">
        <v>30</v>
      </c>
      <c r="Q13" s="4" t="s">
        <v>30</v>
      </c>
      <c r="R13" s="4">
        <v>1.7669999999999999E-3</v>
      </c>
      <c r="S13" s="4">
        <v>3.3999999999999998E-3</v>
      </c>
      <c r="T13" s="4">
        <v>2.21</v>
      </c>
    </row>
    <row r="14" spans="1:30" hidden="1" outlineLevel="1" collapsed="1" x14ac:dyDescent="0.2">
      <c r="A14" t="s">
        <v>34</v>
      </c>
      <c r="B14" s="4" t="s">
        <v>30</v>
      </c>
      <c r="C14" s="4" t="s">
        <v>70</v>
      </c>
      <c r="D14" s="4" t="s">
        <v>34</v>
      </c>
      <c r="E14" s="4">
        <v>5.0615400000000003E-5</v>
      </c>
      <c r="F14" s="4">
        <v>3.7876699999999999E-3</v>
      </c>
      <c r="G14" s="4">
        <v>1</v>
      </c>
      <c r="H14" s="4">
        <v>2</v>
      </c>
      <c r="I14" s="4">
        <v>1</v>
      </c>
      <c r="J14" s="4">
        <v>3</v>
      </c>
      <c r="K14" s="4" t="s">
        <v>32</v>
      </c>
      <c r="L14" s="4" t="s">
        <v>71</v>
      </c>
      <c r="M14" s="4" t="s">
        <v>34</v>
      </c>
      <c r="N14" s="4">
        <v>0</v>
      </c>
      <c r="O14" s="4">
        <v>2383.9518499999999</v>
      </c>
      <c r="P14" s="4" t="s">
        <v>30</v>
      </c>
      <c r="Q14" s="4" t="s">
        <v>30</v>
      </c>
      <c r="R14" s="4">
        <v>1.7669999999999999E-3</v>
      </c>
      <c r="S14" s="4">
        <v>9.6649999999999998E-6</v>
      </c>
      <c r="T14" s="4">
        <v>5.18</v>
      </c>
    </row>
    <row r="15" spans="1:30" hidden="1" outlineLevel="1" collapsed="1" x14ac:dyDescent="0.2">
      <c r="A15" t="s">
        <v>34</v>
      </c>
      <c r="B15" s="4" t="s">
        <v>30</v>
      </c>
      <c r="C15" s="4" t="s">
        <v>72</v>
      </c>
      <c r="D15" s="4" t="s">
        <v>34</v>
      </c>
      <c r="E15" s="4">
        <v>4.5524999999999998E-4</v>
      </c>
      <c r="F15" s="4">
        <v>3.7876699999999999E-3</v>
      </c>
      <c r="G15" s="4">
        <v>1</v>
      </c>
      <c r="H15" s="4">
        <v>2</v>
      </c>
      <c r="I15" s="4">
        <v>1</v>
      </c>
      <c r="J15" s="4">
        <v>1</v>
      </c>
      <c r="K15" s="4" t="s">
        <v>32</v>
      </c>
      <c r="L15" s="4" t="s">
        <v>73</v>
      </c>
      <c r="M15" s="4" t="s">
        <v>34</v>
      </c>
      <c r="N15" s="4">
        <v>1</v>
      </c>
      <c r="O15" s="4">
        <v>2079.9146700000001</v>
      </c>
      <c r="P15" s="4" t="s">
        <v>30</v>
      </c>
      <c r="Q15" s="4" t="s">
        <v>30</v>
      </c>
      <c r="R15" s="4">
        <v>1.7669999999999999E-3</v>
      </c>
      <c r="S15" s="4">
        <v>1.125E-4</v>
      </c>
      <c r="T15" s="4">
        <v>3.27</v>
      </c>
    </row>
    <row r="16" spans="1:30" hidden="1" outlineLevel="1" collapsed="1" x14ac:dyDescent="0.2">
      <c r="A16" t="s">
        <v>34</v>
      </c>
      <c r="B16" s="4" t="s">
        <v>30</v>
      </c>
      <c r="C16" s="4" t="s">
        <v>74</v>
      </c>
      <c r="D16" s="4" t="s">
        <v>34</v>
      </c>
      <c r="E16" s="4">
        <v>4.7755199999999998E-2</v>
      </c>
      <c r="F16" s="4">
        <v>3.7876699999999999E-3</v>
      </c>
      <c r="G16" s="4">
        <v>1</v>
      </c>
      <c r="H16" s="4">
        <v>2</v>
      </c>
      <c r="I16" s="4">
        <v>1</v>
      </c>
      <c r="J16" s="4">
        <v>1</v>
      </c>
      <c r="K16" s="4" t="s">
        <v>32</v>
      </c>
      <c r="L16" s="4" t="s">
        <v>75</v>
      </c>
      <c r="M16" s="4" t="s">
        <v>34</v>
      </c>
      <c r="N16" s="4">
        <v>0</v>
      </c>
      <c r="O16" s="4">
        <v>1092.5028400000001</v>
      </c>
      <c r="P16" s="4" t="s">
        <v>30</v>
      </c>
      <c r="Q16" s="4" t="s">
        <v>30</v>
      </c>
      <c r="R16" s="4">
        <v>1.7669999999999999E-3</v>
      </c>
      <c r="S16" s="4">
        <v>2.044E-2</v>
      </c>
      <c r="T16" s="4">
        <v>1.42</v>
      </c>
    </row>
    <row r="17" spans="1:20" hidden="1" outlineLevel="1" collapsed="1" x14ac:dyDescent="0.2">
      <c r="A17" t="s">
        <v>34</v>
      </c>
      <c r="B17" s="4" t="s">
        <v>30</v>
      </c>
      <c r="C17" s="4" t="s">
        <v>76</v>
      </c>
      <c r="D17" s="4" t="s">
        <v>34</v>
      </c>
      <c r="E17" s="4">
        <v>3.3820700000000002E-2</v>
      </c>
      <c r="F17" s="4">
        <v>3.7876699999999999E-3</v>
      </c>
      <c r="G17" s="4">
        <v>1</v>
      </c>
      <c r="H17" s="4">
        <v>2</v>
      </c>
      <c r="I17" s="4">
        <v>1</v>
      </c>
      <c r="J17" s="4">
        <v>1</v>
      </c>
      <c r="K17" s="4" t="s">
        <v>32</v>
      </c>
      <c r="L17" s="4" t="s">
        <v>77</v>
      </c>
      <c r="M17" s="4" t="s">
        <v>34</v>
      </c>
      <c r="N17" s="4">
        <v>1</v>
      </c>
      <c r="O17" s="4">
        <v>1751.8266900000001</v>
      </c>
      <c r="P17" s="4" t="s">
        <v>30</v>
      </c>
      <c r="Q17" s="4" t="s">
        <v>30</v>
      </c>
      <c r="R17" s="4">
        <v>1.7669999999999999E-3</v>
      </c>
      <c r="S17" s="4">
        <v>1.388E-2</v>
      </c>
      <c r="T17" s="4">
        <v>1.99</v>
      </c>
    </row>
    <row r="18" spans="1:20" hidden="1" outlineLevel="1" collapsed="1" x14ac:dyDescent="0.2">
      <c r="A18" t="s">
        <v>34</v>
      </c>
      <c r="B18" s="4" t="s">
        <v>30</v>
      </c>
      <c r="C18" s="4" t="s">
        <v>78</v>
      </c>
      <c r="D18" s="4" t="s">
        <v>34</v>
      </c>
      <c r="E18" s="4">
        <v>0.137213</v>
      </c>
      <c r="F18" s="4">
        <v>3.7876699999999999E-3</v>
      </c>
      <c r="G18" s="4">
        <v>1</v>
      </c>
      <c r="H18" s="4">
        <v>2</v>
      </c>
      <c r="I18" s="4">
        <v>1</v>
      </c>
      <c r="J18" s="4">
        <v>1</v>
      </c>
      <c r="K18" s="4" t="s">
        <v>32</v>
      </c>
      <c r="L18" s="4" t="s">
        <v>79</v>
      </c>
      <c r="M18" s="4" t="s">
        <v>34</v>
      </c>
      <c r="N18" s="4">
        <v>1</v>
      </c>
      <c r="O18" s="4">
        <v>1844.9460799999999</v>
      </c>
      <c r="P18" s="4" t="s">
        <v>30</v>
      </c>
      <c r="Q18" s="4" t="s">
        <v>30</v>
      </c>
      <c r="R18" s="4">
        <v>1.7669999999999999E-3</v>
      </c>
      <c r="S18" s="4">
        <v>6.8440000000000001E-2</v>
      </c>
      <c r="T18" s="4">
        <v>2.41</v>
      </c>
    </row>
    <row r="19" spans="1:20" hidden="1" outlineLevel="1" collapsed="1" x14ac:dyDescent="0.2">
      <c r="A19" t="s">
        <v>34</v>
      </c>
      <c r="B19" s="4" t="s">
        <v>30</v>
      </c>
      <c r="C19" s="4" t="s">
        <v>80</v>
      </c>
      <c r="D19" s="4" t="s">
        <v>81</v>
      </c>
      <c r="E19" s="4">
        <v>1.45866E-2</v>
      </c>
      <c r="F19" s="4">
        <v>3.7876699999999999E-3</v>
      </c>
      <c r="G19" s="4">
        <v>1</v>
      </c>
      <c r="H19" s="4">
        <v>2</v>
      </c>
      <c r="I19" s="4">
        <v>1</v>
      </c>
      <c r="J19" s="4">
        <v>1</v>
      </c>
      <c r="K19" s="4" t="s">
        <v>32</v>
      </c>
      <c r="L19" s="4" t="s">
        <v>82</v>
      </c>
      <c r="M19" s="4" t="s">
        <v>34</v>
      </c>
      <c r="N19" s="4">
        <v>1</v>
      </c>
      <c r="O19" s="4">
        <v>2017.8841299999999</v>
      </c>
      <c r="P19" s="4" t="s">
        <v>30</v>
      </c>
      <c r="Q19" s="4" t="s">
        <v>30</v>
      </c>
      <c r="R19" s="4">
        <v>1.7669999999999999E-3</v>
      </c>
      <c r="S19" s="4">
        <v>5.411E-3</v>
      </c>
      <c r="T19" s="4">
        <v>1.98</v>
      </c>
    </row>
    <row r="20" spans="1:20" hidden="1" outlineLevel="1" collapsed="1" x14ac:dyDescent="0.2">
      <c r="A20" t="s">
        <v>34</v>
      </c>
      <c r="B20" s="4" t="s">
        <v>30</v>
      </c>
      <c r="C20" s="4" t="s">
        <v>83</v>
      </c>
      <c r="D20" s="4" t="s">
        <v>34</v>
      </c>
      <c r="E20" s="4">
        <v>2.4486600000000001E-2</v>
      </c>
      <c r="F20" s="4">
        <v>3.7876699999999999E-3</v>
      </c>
      <c r="G20" s="4">
        <v>2</v>
      </c>
      <c r="H20" s="4">
        <v>3</v>
      </c>
      <c r="I20" s="4">
        <v>1</v>
      </c>
      <c r="J20" s="4">
        <v>8</v>
      </c>
      <c r="K20" s="4" t="s">
        <v>84</v>
      </c>
      <c r="L20" s="4" t="s">
        <v>85</v>
      </c>
      <c r="M20" s="4" t="s">
        <v>34</v>
      </c>
      <c r="N20" s="4">
        <v>0</v>
      </c>
      <c r="O20" s="4">
        <v>973.53129000000001</v>
      </c>
      <c r="P20" s="4" t="s">
        <v>30</v>
      </c>
      <c r="Q20" s="4" t="s">
        <v>30</v>
      </c>
      <c r="R20" s="4">
        <v>1.7669999999999999E-3</v>
      </c>
      <c r="S20" s="4">
        <v>9.6600000000000002E-3</v>
      </c>
      <c r="T20" s="4">
        <v>1.42</v>
      </c>
    </row>
    <row r="21" spans="1:20" hidden="1" outlineLevel="1" collapsed="1" x14ac:dyDescent="0.2">
      <c r="A21" t="s">
        <v>34</v>
      </c>
      <c r="B21" s="4" t="s">
        <v>30</v>
      </c>
      <c r="C21" s="4" t="s">
        <v>86</v>
      </c>
      <c r="D21" s="4" t="s">
        <v>34</v>
      </c>
      <c r="E21" s="4">
        <v>1.21827E-3</v>
      </c>
      <c r="F21" s="4">
        <v>3.7876699999999999E-3</v>
      </c>
      <c r="G21" s="4">
        <v>1</v>
      </c>
      <c r="H21" s="4">
        <v>2</v>
      </c>
      <c r="I21" s="4">
        <v>1</v>
      </c>
      <c r="J21" s="4">
        <v>4</v>
      </c>
      <c r="K21" s="4" t="s">
        <v>32</v>
      </c>
      <c r="L21" s="4" t="s">
        <v>87</v>
      </c>
      <c r="M21" s="4" t="s">
        <v>34</v>
      </c>
      <c r="N21" s="4">
        <v>0</v>
      </c>
      <c r="O21" s="4">
        <v>1357.69578</v>
      </c>
      <c r="P21" s="4" t="s">
        <v>30</v>
      </c>
      <c r="Q21" s="4" t="s">
        <v>30</v>
      </c>
      <c r="R21" s="4">
        <v>1.7669999999999999E-3</v>
      </c>
      <c r="S21" s="4">
        <v>3.3799999999999998E-4</v>
      </c>
      <c r="T21" s="4">
        <v>2.86</v>
      </c>
    </row>
    <row r="22" spans="1:20" hidden="1" outlineLevel="1" collapsed="1" x14ac:dyDescent="0.2">
      <c r="A22" t="s">
        <v>34</v>
      </c>
      <c r="B22" s="4" t="s">
        <v>30</v>
      </c>
      <c r="C22" s="4" t="s">
        <v>88</v>
      </c>
      <c r="D22" s="4" t="s">
        <v>34</v>
      </c>
      <c r="E22" s="4">
        <v>1.6149699999999999E-2</v>
      </c>
      <c r="F22" s="4">
        <v>3.7876699999999999E-3</v>
      </c>
      <c r="G22" s="4">
        <v>4</v>
      </c>
      <c r="H22" s="4">
        <v>10</v>
      </c>
      <c r="I22" s="4">
        <v>1</v>
      </c>
      <c r="J22" s="4">
        <v>6</v>
      </c>
      <c r="K22" s="4" t="s">
        <v>89</v>
      </c>
      <c r="L22" s="4" t="s">
        <v>90</v>
      </c>
      <c r="M22" s="4" t="s">
        <v>34</v>
      </c>
      <c r="N22" s="4">
        <v>2</v>
      </c>
      <c r="O22" s="4">
        <v>1308.65425</v>
      </c>
      <c r="P22" s="4" t="s">
        <v>30</v>
      </c>
      <c r="Q22" s="4" t="s">
        <v>30</v>
      </c>
      <c r="R22" s="4">
        <v>1.7669999999999999E-3</v>
      </c>
      <c r="S22" s="4">
        <v>6.0530000000000002E-3</v>
      </c>
      <c r="T22" s="4">
        <v>2.8</v>
      </c>
    </row>
    <row r="23" spans="1:20" hidden="1" outlineLevel="1" collapsed="1" x14ac:dyDescent="0.2">
      <c r="A23" t="s">
        <v>34</v>
      </c>
      <c r="B23" s="4" t="s">
        <v>30</v>
      </c>
      <c r="C23" s="4" t="s">
        <v>91</v>
      </c>
      <c r="D23" s="4" t="s">
        <v>92</v>
      </c>
      <c r="E23" s="4">
        <v>3.6523199999999999E-2</v>
      </c>
      <c r="F23" s="4">
        <v>3.7876699999999999E-3</v>
      </c>
      <c r="G23" s="4">
        <v>1</v>
      </c>
      <c r="H23" s="4">
        <v>2</v>
      </c>
      <c r="I23" s="4">
        <v>2</v>
      </c>
      <c r="J23" s="4">
        <v>5</v>
      </c>
      <c r="K23" s="4" t="s">
        <v>32</v>
      </c>
      <c r="L23" s="4" t="s">
        <v>93</v>
      </c>
      <c r="M23" s="4" t="s">
        <v>34</v>
      </c>
      <c r="N23" s="4">
        <v>0</v>
      </c>
      <c r="O23" s="4">
        <v>1316.5245600000001</v>
      </c>
      <c r="P23" s="4" t="s">
        <v>30</v>
      </c>
      <c r="Q23" s="4" t="s">
        <v>30</v>
      </c>
      <c r="R23" s="4">
        <v>1.7669999999999999E-3</v>
      </c>
      <c r="S23" s="4">
        <v>1.5169999999999999E-2</v>
      </c>
      <c r="T23" s="4">
        <v>2.09</v>
      </c>
    </row>
    <row r="24" spans="1:20" hidden="1" outlineLevel="1" collapsed="1" x14ac:dyDescent="0.2">
      <c r="A24" t="s">
        <v>34</v>
      </c>
      <c r="B24" s="4" t="s">
        <v>30</v>
      </c>
      <c r="C24" s="4" t="s">
        <v>91</v>
      </c>
      <c r="D24" s="4" t="s">
        <v>94</v>
      </c>
      <c r="E24" s="4">
        <v>1.7283300000000001E-2</v>
      </c>
      <c r="F24" s="4">
        <v>3.7876699999999999E-3</v>
      </c>
      <c r="G24" s="4">
        <v>1</v>
      </c>
      <c r="H24" s="4">
        <v>2</v>
      </c>
      <c r="I24" s="4">
        <v>1</v>
      </c>
      <c r="J24" s="4">
        <v>16</v>
      </c>
      <c r="K24" s="4" t="s">
        <v>32</v>
      </c>
      <c r="L24" s="4" t="s">
        <v>93</v>
      </c>
      <c r="M24" s="4" t="s">
        <v>34</v>
      </c>
      <c r="N24" s="4">
        <v>0</v>
      </c>
      <c r="O24" s="4">
        <v>1332.5194799999999</v>
      </c>
      <c r="P24" s="4" t="s">
        <v>30</v>
      </c>
      <c r="Q24" s="4" t="s">
        <v>30</v>
      </c>
      <c r="R24" s="4">
        <v>1.7669999999999999E-3</v>
      </c>
      <c r="S24" s="4">
        <v>6.5449999999999996E-3</v>
      </c>
      <c r="T24" s="4">
        <v>2.19</v>
      </c>
    </row>
    <row r="25" spans="1:20" hidden="1" outlineLevel="1" collapsed="1" x14ac:dyDescent="0.2">
      <c r="A25" t="s">
        <v>34</v>
      </c>
      <c r="B25" s="4" t="s">
        <v>30</v>
      </c>
      <c r="C25" s="4" t="s">
        <v>95</v>
      </c>
      <c r="D25" s="4" t="s">
        <v>34</v>
      </c>
      <c r="E25" s="4">
        <v>6.11634E-2</v>
      </c>
      <c r="F25" s="4">
        <v>3.7876699999999999E-3</v>
      </c>
      <c r="G25" s="4">
        <v>1</v>
      </c>
      <c r="H25" s="4">
        <v>2</v>
      </c>
      <c r="I25" s="4">
        <v>1</v>
      </c>
      <c r="J25" s="4">
        <v>2</v>
      </c>
      <c r="K25" s="4" t="s">
        <v>32</v>
      </c>
      <c r="L25" s="4" t="s">
        <v>96</v>
      </c>
      <c r="M25" s="4" t="s">
        <v>34</v>
      </c>
      <c r="N25" s="4">
        <v>1</v>
      </c>
      <c r="O25" s="4">
        <v>1302.7012</v>
      </c>
      <c r="P25" s="4" t="s">
        <v>30</v>
      </c>
      <c r="Q25" s="4" t="s">
        <v>30</v>
      </c>
      <c r="R25" s="4">
        <v>1.7669999999999999E-3</v>
      </c>
      <c r="S25" s="4">
        <v>2.708E-2</v>
      </c>
      <c r="T25" s="4">
        <v>3.54</v>
      </c>
    </row>
    <row r="26" spans="1:20" hidden="1" outlineLevel="1" collapsed="1" x14ac:dyDescent="0.2">
      <c r="A26" t="s">
        <v>34</v>
      </c>
      <c r="B26" s="4" t="s">
        <v>30</v>
      </c>
      <c r="C26" s="4" t="s">
        <v>97</v>
      </c>
      <c r="D26" s="4" t="s">
        <v>34</v>
      </c>
      <c r="E26" s="4">
        <v>1.2361200000000001E-3</v>
      </c>
      <c r="F26" s="4">
        <v>3.7876699999999999E-3</v>
      </c>
      <c r="G26" s="4">
        <v>1</v>
      </c>
      <c r="H26" s="4">
        <v>2</v>
      </c>
      <c r="I26" s="4">
        <v>1</v>
      </c>
      <c r="J26" s="4">
        <v>3</v>
      </c>
      <c r="K26" s="4" t="s">
        <v>32</v>
      </c>
      <c r="L26" s="4" t="s">
        <v>98</v>
      </c>
      <c r="M26" s="4" t="s">
        <v>34</v>
      </c>
      <c r="N26" s="4">
        <v>0</v>
      </c>
      <c r="O26" s="4">
        <v>1716.85112</v>
      </c>
      <c r="P26" s="4" t="s">
        <v>30</v>
      </c>
      <c r="Q26" s="4" t="s">
        <v>30</v>
      </c>
      <c r="R26" s="4">
        <v>1.7669999999999999E-3</v>
      </c>
      <c r="S26" s="4">
        <v>3.4299999999999999E-4</v>
      </c>
      <c r="T26" s="4">
        <v>3.99</v>
      </c>
    </row>
    <row r="27" spans="1:20" hidden="1" outlineLevel="1" collapsed="1" x14ac:dyDescent="0.2">
      <c r="A27" t="s">
        <v>34</v>
      </c>
      <c r="B27" s="4" t="s">
        <v>30</v>
      </c>
      <c r="C27" s="4" t="s">
        <v>99</v>
      </c>
      <c r="D27" s="4" t="s">
        <v>34</v>
      </c>
      <c r="E27" s="4">
        <v>0.10165299999999999</v>
      </c>
      <c r="F27" s="4">
        <v>3.7876699999999999E-3</v>
      </c>
      <c r="G27" s="4">
        <v>1</v>
      </c>
      <c r="H27" s="4">
        <v>2</v>
      </c>
      <c r="I27" s="4">
        <v>1</v>
      </c>
      <c r="J27" s="4">
        <v>1</v>
      </c>
      <c r="K27" s="4" t="s">
        <v>32</v>
      </c>
      <c r="L27" s="4" t="s">
        <v>100</v>
      </c>
      <c r="M27" s="4" t="s">
        <v>34</v>
      </c>
      <c r="N27" s="4">
        <v>1</v>
      </c>
      <c r="O27" s="4">
        <v>932.50473999999997</v>
      </c>
      <c r="P27" s="4" t="s">
        <v>30</v>
      </c>
      <c r="Q27" s="4" t="s">
        <v>30</v>
      </c>
      <c r="R27" s="4">
        <v>1.7669999999999999E-3</v>
      </c>
      <c r="S27" s="4">
        <v>4.8410000000000002E-2</v>
      </c>
      <c r="T27" s="4">
        <v>1.22</v>
      </c>
    </row>
    <row r="28" spans="1:20" hidden="1" outlineLevel="1" collapsed="1" x14ac:dyDescent="0.2">
      <c r="A28" t="s">
        <v>34</v>
      </c>
      <c r="B28" s="4" t="s">
        <v>30</v>
      </c>
      <c r="C28" s="4" t="s">
        <v>101</v>
      </c>
      <c r="D28" s="4" t="s">
        <v>34</v>
      </c>
      <c r="E28" s="4">
        <v>2.1072199999999999E-3</v>
      </c>
      <c r="F28" s="4">
        <v>3.7876699999999999E-3</v>
      </c>
      <c r="G28" s="4">
        <v>1</v>
      </c>
      <c r="H28" s="4">
        <v>2</v>
      </c>
      <c r="I28" s="4">
        <v>1</v>
      </c>
      <c r="J28" s="4">
        <v>3</v>
      </c>
      <c r="K28" s="4" t="s">
        <v>32</v>
      </c>
      <c r="L28" s="4" t="s">
        <v>102</v>
      </c>
      <c r="M28" s="4" t="s">
        <v>34</v>
      </c>
      <c r="N28" s="4">
        <v>0</v>
      </c>
      <c r="O28" s="4">
        <v>1657.79287</v>
      </c>
      <c r="P28" s="4" t="s">
        <v>30</v>
      </c>
      <c r="Q28" s="4" t="s">
        <v>30</v>
      </c>
      <c r="R28" s="4">
        <v>1.7669999999999999E-3</v>
      </c>
      <c r="S28" s="4">
        <v>6.2239999999999995E-4</v>
      </c>
      <c r="T28" s="4">
        <v>2.12</v>
      </c>
    </row>
    <row r="29" spans="1:20" hidden="1" outlineLevel="1" collapsed="1" x14ac:dyDescent="0.2">
      <c r="A29" t="s">
        <v>34</v>
      </c>
      <c r="B29" s="4" t="s">
        <v>30</v>
      </c>
      <c r="C29" s="4" t="s">
        <v>101</v>
      </c>
      <c r="D29" s="4" t="s">
        <v>103</v>
      </c>
      <c r="E29" s="4">
        <v>4.8213300000000001E-2</v>
      </c>
      <c r="F29" s="4">
        <v>3.7876699999999999E-3</v>
      </c>
      <c r="G29" s="4">
        <v>1</v>
      </c>
      <c r="H29" s="4">
        <v>2</v>
      </c>
      <c r="I29" s="4">
        <v>1</v>
      </c>
      <c r="J29" s="4">
        <v>1</v>
      </c>
      <c r="K29" s="4" t="s">
        <v>32</v>
      </c>
      <c r="L29" s="4" t="s">
        <v>102</v>
      </c>
      <c r="M29" s="4" t="s">
        <v>104</v>
      </c>
      <c r="N29" s="4">
        <v>0</v>
      </c>
      <c r="O29" s="4">
        <v>1737.7592</v>
      </c>
      <c r="P29" s="4" t="s">
        <v>30</v>
      </c>
      <c r="Q29" s="4" t="s">
        <v>30</v>
      </c>
      <c r="R29" s="4">
        <v>1.7669999999999999E-3</v>
      </c>
      <c r="S29" s="4">
        <v>2.0670000000000001E-2</v>
      </c>
      <c r="T29" s="4">
        <v>2.3199999999999998</v>
      </c>
    </row>
    <row r="30" spans="1:20" hidden="1" outlineLevel="1" collapsed="1" x14ac:dyDescent="0.2">
      <c r="A30" t="s">
        <v>34</v>
      </c>
      <c r="B30" s="4" t="s">
        <v>30</v>
      </c>
      <c r="C30" s="4" t="s">
        <v>105</v>
      </c>
      <c r="D30" s="4" t="s">
        <v>34</v>
      </c>
      <c r="E30" s="4">
        <v>6.1832500000000004E-3</v>
      </c>
      <c r="F30" s="4">
        <v>3.7876699999999999E-3</v>
      </c>
      <c r="G30" s="4">
        <v>1</v>
      </c>
      <c r="H30" s="4">
        <v>2</v>
      </c>
      <c r="I30" s="4">
        <v>1</v>
      </c>
      <c r="J30" s="4">
        <v>2</v>
      </c>
      <c r="K30" s="4" t="s">
        <v>32</v>
      </c>
      <c r="L30" s="4" t="s">
        <v>106</v>
      </c>
      <c r="M30" s="4" t="s">
        <v>34</v>
      </c>
      <c r="N30" s="4">
        <v>1</v>
      </c>
      <c r="O30" s="4">
        <v>1340.6692399999999</v>
      </c>
      <c r="P30" s="4" t="s">
        <v>30</v>
      </c>
      <c r="Q30" s="4" t="s">
        <v>30</v>
      </c>
      <c r="R30" s="4">
        <v>1.7669999999999999E-3</v>
      </c>
      <c r="S30" s="4">
        <v>2.0730000000000002E-3</v>
      </c>
      <c r="T30" s="4">
        <v>2.96</v>
      </c>
    </row>
    <row r="31" spans="1:20" hidden="1" outlineLevel="1" collapsed="1" x14ac:dyDescent="0.2">
      <c r="A31" t="s">
        <v>34</v>
      </c>
      <c r="B31" s="4" t="s">
        <v>30</v>
      </c>
      <c r="C31" s="4" t="s">
        <v>107</v>
      </c>
      <c r="D31" s="4" t="s">
        <v>34</v>
      </c>
      <c r="E31" s="4">
        <v>7.4601000000000001E-2</v>
      </c>
      <c r="F31" s="4">
        <v>3.7876699999999999E-3</v>
      </c>
      <c r="G31" s="4">
        <v>1</v>
      </c>
      <c r="H31" s="4">
        <v>2</v>
      </c>
      <c r="I31" s="4">
        <v>1</v>
      </c>
      <c r="J31" s="4">
        <v>2</v>
      </c>
      <c r="K31" s="4" t="s">
        <v>32</v>
      </c>
      <c r="L31" s="4" t="s">
        <v>108</v>
      </c>
      <c r="M31" s="4" t="s">
        <v>34</v>
      </c>
      <c r="N31" s="4">
        <v>0</v>
      </c>
      <c r="O31" s="4">
        <v>1302.7151200000001</v>
      </c>
      <c r="P31" s="4" t="s">
        <v>30</v>
      </c>
      <c r="Q31" s="4" t="s">
        <v>30</v>
      </c>
      <c r="R31" s="4">
        <v>1.7669999999999999E-3</v>
      </c>
      <c r="S31" s="4">
        <v>3.3980000000000003E-2</v>
      </c>
      <c r="T31" s="4">
        <v>2.4900000000000002</v>
      </c>
    </row>
    <row r="32" spans="1:20" hidden="1" outlineLevel="1" collapsed="1" x14ac:dyDescent="0.2">
      <c r="A32" t="s">
        <v>34</v>
      </c>
      <c r="B32" s="4" t="s">
        <v>30</v>
      </c>
      <c r="C32" s="4" t="s">
        <v>109</v>
      </c>
      <c r="D32" s="4" t="s">
        <v>34</v>
      </c>
      <c r="E32" s="4">
        <v>5.2180799999999999E-3</v>
      </c>
      <c r="F32" s="4">
        <v>3.7876699999999999E-3</v>
      </c>
      <c r="G32" s="4">
        <v>1</v>
      </c>
      <c r="H32" s="4">
        <v>2</v>
      </c>
      <c r="I32" s="4">
        <v>1</v>
      </c>
      <c r="J32" s="4">
        <v>2</v>
      </c>
      <c r="K32" s="4" t="s">
        <v>32</v>
      </c>
      <c r="L32" s="4" t="s">
        <v>110</v>
      </c>
      <c r="M32" s="4" t="s">
        <v>34</v>
      </c>
      <c r="N32" s="4">
        <v>0</v>
      </c>
      <c r="O32" s="4">
        <v>1383.69031</v>
      </c>
      <c r="P32" s="4" t="s">
        <v>30</v>
      </c>
      <c r="Q32" s="4" t="s">
        <v>30</v>
      </c>
      <c r="R32" s="4">
        <v>1.7669999999999999E-3</v>
      </c>
      <c r="S32" s="4">
        <v>1.7160000000000001E-3</v>
      </c>
      <c r="T32" s="4">
        <v>2.75</v>
      </c>
    </row>
    <row r="33" spans="1:30" hidden="1" outlineLevel="1" collapsed="1" x14ac:dyDescent="0.2">
      <c r="A33" t="s">
        <v>34</v>
      </c>
      <c r="B33" s="4" t="s">
        <v>30</v>
      </c>
      <c r="C33" s="4" t="s">
        <v>111</v>
      </c>
      <c r="D33" s="4" t="s">
        <v>34</v>
      </c>
      <c r="E33" s="4">
        <v>1.92266E-2</v>
      </c>
      <c r="F33" s="4">
        <v>3.7876699999999999E-3</v>
      </c>
      <c r="G33" s="4">
        <v>1</v>
      </c>
      <c r="H33" s="4">
        <v>2</v>
      </c>
      <c r="I33" s="4">
        <v>1</v>
      </c>
      <c r="J33" s="4">
        <v>4</v>
      </c>
      <c r="K33" s="4" t="s">
        <v>32</v>
      </c>
      <c r="L33" s="4" t="s">
        <v>112</v>
      </c>
      <c r="M33" s="4" t="s">
        <v>34</v>
      </c>
      <c r="N33" s="4">
        <v>0</v>
      </c>
      <c r="O33" s="4">
        <v>832.48869000000002</v>
      </c>
      <c r="P33" s="4" t="s">
        <v>30</v>
      </c>
      <c r="Q33" s="4" t="s">
        <v>30</v>
      </c>
      <c r="R33" s="4">
        <v>1.7669999999999999E-3</v>
      </c>
      <c r="S33" s="4">
        <v>7.3670000000000003E-3</v>
      </c>
      <c r="T33" s="4">
        <v>1.8</v>
      </c>
    </row>
    <row r="34" spans="1:30" hidden="1" outlineLevel="1" collapsed="1" x14ac:dyDescent="0.2">
      <c r="A34" t="s">
        <v>34</v>
      </c>
      <c r="B34" s="4" t="s">
        <v>30</v>
      </c>
      <c r="C34" s="4" t="s">
        <v>113</v>
      </c>
      <c r="D34" s="4" t="s">
        <v>34</v>
      </c>
      <c r="E34" s="4">
        <v>2.4251100000000001E-2</v>
      </c>
      <c r="F34" s="4">
        <v>3.7876699999999999E-3</v>
      </c>
      <c r="G34" s="4">
        <v>1</v>
      </c>
      <c r="H34" s="4">
        <v>2</v>
      </c>
      <c r="I34" s="4">
        <v>1</v>
      </c>
      <c r="J34" s="4">
        <v>6</v>
      </c>
      <c r="K34" s="4" t="s">
        <v>32</v>
      </c>
      <c r="L34" s="4" t="s">
        <v>114</v>
      </c>
      <c r="M34" s="4" t="s">
        <v>34</v>
      </c>
      <c r="N34" s="4">
        <v>0</v>
      </c>
      <c r="O34" s="4">
        <v>874.49926000000005</v>
      </c>
      <c r="P34" s="4" t="s">
        <v>30</v>
      </c>
      <c r="Q34" s="4" t="s">
        <v>30</v>
      </c>
      <c r="R34" s="4">
        <v>1.7669999999999999E-3</v>
      </c>
      <c r="S34" s="4">
        <v>9.5820000000000002E-3</v>
      </c>
      <c r="T34" s="4">
        <v>1.87</v>
      </c>
    </row>
    <row r="35" spans="1:30" hidden="1" outlineLevel="1" collapsed="1" x14ac:dyDescent="0.2">
      <c r="A35" t="s">
        <v>34</v>
      </c>
      <c r="B35" s="4" t="s">
        <v>30</v>
      </c>
      <c r="C35" s="4" t="s">
        <v>115</v>
      </c>
      <c r="D35" s="4" t="s">
        <v>34</v>
      </c>
      <c r="E35" s="4">
        <v>2.8713800000000001E-2</v>
      </c>
      <c r="F35" s="4">
        <v>3.7876699999999999E-3</v>
      </c>
      <c r="G35" s="4">
        <v>1</v>
      </c>
      <c r="H35" s="4">
        <v>2</v>
      </c>
      <c r="I35" s="4">
        <v>1</v>
      </c>
      <c r="J35" s="4">
        <v>3</v>
      </c>
      <c r="K35" s="4" t="s">
        <v>32</v>
      </c>
      <c r="L35" s="4" t="s">
        <v>116</v>
      </c>
      <c r="M35" s="4" t="s">
        <v>34</v>
      </c>
      <c r="N35" s="4">
        <v>0</v>
      </c>
      <c r="O35" s="4">
        <v>1033.51603</v>
      </c>
      <c r="P35" s="4" t="s">
        <v>30</v>
      </c>
      <c r="Q35" s="4" t="s">
        <v>30</v>
      </c>
      <c r="R35" s="4">
        <v>1.7669999999999999E-3</v>
      </c>
      <c r="S35" s="4">
        <v>1.153E-2</v>
      </c>
      <c r="T35" s="4">
        <v>1.48</v>
      </c>
    </row>
    <row r="36" spans="1:30" hidden="1" outlineLevel="1" collapsed="1" x14ac:dyDescent="0.2">
      <c r="A36" t="s">
        <v>34</v>
      </c>
      <c r="B36" s="4" t="s">
        <v>30</v>
      </c>
      <c r="C36" s="4" t="s">
        <v>117</v>
      </c>
      <c r="D36" s="4" t="s">
        <v>34</v>
      </c>
      <c r="E36" s="4">
        <v>2.9302899999999999E-3</v>
      </c>
      <c r="F36" s="4">
        <v>3.7876699999999999E-3</v>
      </c>
      <c r="G36" s="4">
        <v>1</v>
      </c>
      <c r="H36" s="4">
        <v>2</v>
      </c>
      <c r="I36" s="4">
        <v>1</v>
      </c>
      <c r="J36" s="4">
        <v>5</v>
      </c>
      <c r="K36" s="4" t="s">
        <v>32</v>
      </c>
      <c r="L36" s="4" t="s">
        <v>118</v>
      </c>
      <c r="M36" s="4" t="s">
        <v>34</v>
      </c>
      <c r="N36" s="4">
        <v>0</v>
      </c>
      <c r="O36" s="4">
        <v>1265.6372100000001</v>
      </c>
      <c r="P36" s="4" t="s">
        <v>30</v>
      </c>
      <c r="Q36" s="4" t="s">
        <v>30</v>
      </c>
      <c r="R36" s="4">
        <v>1.7669999999999999E-3</v>
      </c>
      <c r="S36" s="4">
        <v>9.0209999999999997E-4</v>
      </c>
      <c r="T36" s="4">
        <v>2.2999999999999998</v>
      </c>
    </row>
    <row r="37" spans="1:30" hidden="1" outlineLevel="1" collapsed="1" x14ac:dyDescent="0.2">
      <c r="A37" t="s">
        <v>34</v>
      </c>
      <c r="B37" s="4" t="s">
        <v>30</v>
      </c>
      <c r="C37" s="4" t="s">
        <v>119</v>
      </c>
      <c r="D37" s="4" t="s">
        <v>34</v>
      </c>
      <c r="E37" s="4">
        <v>6.6497500000000003E-3</v>
      </c>
      <c r="F37" s="4">
        <v>3.7876699999999999E-3</v>
      </c>
      <c r="G37" s="4">
        <v>1</v>
      </c>
      <c r="H37" s="4">
        <v>2</v>
      </c>
      <c r="I37" s="4">
        <v>1</v>
      </c>
      <c r="J37" s="4">
        <v>8</v>
      </c>
      <c r="K37" s="4" t="s">
        <v>32</v>
      </c>
      <c r="L37" s="4" t="s">
        <v>120</v>
      </c>
      <c r="M37" s="4" t="s">
        <v>34</v>
      </c>
      <c r="N37" s="4">
        <v>1</v>
      </c>
      <c r="O37" s="4">
        <v>1393.73217</v>
      </c>
      <c r="P37" s="4" t="s">
        <v>30</v>
      </c>
      <c r="Q37" s="4" t="s">
        <v>30</v>
      </c>
      <c r="R37" s="4">
        <v>1.7669999999999999E-3</v>
      </c>
      <c r="S37" s="4">
        <v>2.2499999999999998E-3</v>
      </c>
      <c r="T37" s="4">
        <v>3.69</v>
      </c>
    </row>
    <row r="38" spans="1:30" hidden="1" outlineLevel="1" collapsed="1" x14ac:dyDescent="0.2">
      <c r="A38" t="s">
        <v>34</v>
      </c>
      <c r="B38" s="4" t="s">
        <v>30</v>
      </c>
      <c r="C38" s="4" t="s">
        <v>121</v>
      </c>
      <c r="D38" s="4" t="s">
        <v>34</v>
      </c>
      <c r="E38" s="4">
        <v>7.3553199999999999E-2</v>
      </c>
      <c r="F38" s="4">
        <v>3.7876699999999999E-3</v>
      </c>
      <c r="G38" s="4">
        <v>1</v>
      </c>
      <c r="H38" s="4">
        <v>2</v>
      </c>
      <c r="I38" s="4">
        <v>1</v>
      </c>
      <c r="J38" s="4">
        <v>1</v>
      </c>
      <c r="K38" s="4" t="s">
        <v>32</v>
      </c>
      <c r="L38" s="4" t="s">
        <v>122</v>
      </c>
      <c r="M38" s="4" t="s">
        <v>34</v>
      </c>
      <c r="N38" s="4">
        <v>1</v>
      </c>
      <c r="O38" s="4">
        <v>1175.60149</v>
      </c>
      <c r="P38" s="4" t="s">
        <v>30</v>
      </c>
      <c r="Q38" s="4" t="s">
        <v>30</v>
      </c>
      <c r="R38" s="4">
        <v>1.7669999999999999E-3</v>
      </c>
      <c r="S38" s="4">
        <v>3.3459999999999997E-2</v>
      </c>
      <c r="T38" s="4">
        <v>2.19</v>
      </c>
    </row>
    <row r="39" spans="1:30" hidden="1" outlineLevel="1" collapsed="1" x14ac:dyDescent="0.2">
      <c r="A39" t="s">
        <v>34</v>
      </c>
      <c r="B39" s="4" t="s">
        <v>30</v>
      </c>
      <c r="C39" s="4" t="s">
        <v>123</v>
      </c>
      <c r="D39" s="4" t="s">
        <v>34</v>
      </c>
      <c r="E39" s="4">
        <v>1.1064299999999999E-2</v>
      </c>
      <c r="F39" s="4">
        <v>3.7876699999999999E-3</v>
      </c>
      <c r="G39" s="4">
        <v>1</v>
      </c>
      <c r="H39" s="4">
        <v>2</v>
      </c>
      <c r="I39" s="4">
        <v>1</v>
      </c>
      <c r="J39" s="4">
        <v>1</v>
      </c>
      <c r="K39" s="4" t="s">
        <v>32</v>
      </c>
      <c r="L39" s="4" t="s">
        <v>124</v>
      </c>
      <c r="M39" s="4" t="s">
        <v>34</v>
      </c>
      <c r="N39" s="4">
        <v>0</v>
      </c>
      <c r="O39" s="4">
        <v>1475.7488800000001</v>
      </c>
      <c r="P39" s="4" t="s">
        <v>30</v>
      </c>
      <c r="Q39" s="4" t="s">
        <v>30</v>
      </c>
      <c r="R39" s="4">
        <v>1.7669999999999999E-3</v>
      </c>
      <c r="S39" s="4">
        <v>3.9839999999999997E-3</v>
      </c>
      <c r="T39" s="4">
        <v>2.29</v>
      </c>
    </row>
    <row r="40" spans="1:30" hidden="1" outlineLevel="1" collapsed="1" x14ac:dyDescent="0.2">
      <c r="A40" t="s">
        <v>34</v>
      </c>
      <c r="B40" s="4" t="s">
        <v>30</v>
      </c>
      <c r="C40" s="4" t="s">
        <v>125</v>
      </c>
      <c r="D40" s="4" t="s">
        <v>34</v>
      </c>
      <c r="E40" s="4">
        <v>6.4278299999999998E-3</v>
      </c>
      <c r="F40" s="4">
        <v>3.7876699999999999E-3</v>
      </c>
      <c r="G40" s="4">
        <v>1</v>
      </c>
      <c r="H40" s="4">
        <v>2</v>
      </c>
      <c r="I40" s="4">
        <v>1</v>
      </c>
      <c r="J40" s="4">
        <v>4</v>
      </c>
      <c r="K40" s="4" t="s">
        <v>32</v>
      </c>
      <c r="L40" s="4" t="s">
        <v>126</v>
      </c>
      <c r="M40" s="4" t="s">
        <v>34</v>
      </c>
      <c r="N40" s="4">
        <v>0</v>
      </c>
      <c r="O40" s="4">
        <v>1179.60043</v>
      </c>
      <c r="P40" s="4" t="s">
        <v>30</v>
      </c>
      <c r="Q40" s="4" t="s">
        <v>30</v>
      </c>
      <c r="R40" s="4">
        <v>1.7669999999999999E-3</v>
      </c>
      <c r="S40" s="4">
        <v>2.1710000000000002E-3</v>
      </c>
      <c r="T40" s="4">
        <v>2.16</v>
      </c>
    </row>
    <row r="41" spans="1:30" collapsed="1" x14ac:dyDescent="0.2">
      <c r="A41" s="3" t="s">
        <v>30</v>
      </c>
      <c r="B41" s="3" t="s">
        <v>31</v>
      </c>
      <c r="C41" s="3" t="s">
        <v>127</v>
      </c>
      <c r="D41" s="3" t="s">
        <v>128</v>
      </c>
      <c r="E41" s="3">
        <v>0</v>
      </c>
      <c r="F41" s="3">
        <v>78.671999999999997</v>
      </c>
      <c r="G41" s="3">
        <v>42</v>
      </c>
      <c r="H41" s="3">
        <v>33</v>
      </c>
      <c r="I41" s="3">
        <v>35</v>
      </c>
      <c r="J41" s="3">
        <v>69</v>
      </c>
      <c r="K41" s="3">
        <v>33</v>
      </c>
      <c r="L41" s="3">
        <v>821</v>
      </c>
      <c r="M41" s="3">
        <v>95.3</v>
      </c>
      <c r="N41" s="3">
        <v>4.91</v>
      </c>
      <c r="O41" s="3">
        <v>137.91999999999999</v>
      </c>
      <c r="P41" s="3">
        <v>33</v>
      </c>
      <c r="Q41" s="3" t="s">
        <v>129</v>
      </c>
      <c r="R41" s="3" t="s">
        <v>130</v>
      </c>
      <c r="S41" s="3" t="s">
        <v>34</v>
      </c>
      <c r="T41" s="3" t="s">
        <v>131</v>
      </c>
      <c r="U41" s="3" t="s">
        <v>132</v>
      </c>
      <c r="V41" s="3" t="s">
        <v>133</v>
      </c>
      <c r="W41" s="3" t="s">
        <v>34</v>
      </c>
      <c r="X41" s="3" t="s">
        <v>134</v>
      </c>
      <c r="Y41" s="3" t="s">
        <v>34</v>
      </c>
      <c r="Z41" s="3" t="s">
        <v>34</v>
      </c>
      <c r="AA41" s="3">
        <v>0</v>
      </c>
      <c r="AB41" s="3" t="s">
        <v>30</v>
      </c>
      <c r="AC41" s="3">
        <v>1</v>
      </c>
      <c r="AD41" s="3" t="s">
        <v>135</v>
      </c>
    </row>
    <row r="42" spans="1:30" hidden="1" outlineLevel="1" collapsed="1" x14ac:dyDescent="0.2">
      <c r="A42" t="s">
        <v>34</v>
      </c>
      <c r="B42" s="2" t="s">
        <v>36</v>
      </c>
      <c r="C42" s="2" t="s">
        <v>37</v>
      </c>
      <c r="D42" s="2" t="s">
        <v>29</v>
      </c>
      <c r="E42" s="2" t="s">
        <v>38</v>
      </c>
      <c r="F42" s="2" t="s">
        <v>39</v>
      </c>
      <c r="G42" s="2" t="s">
        <v>28</v>
      </c>
      <c r="H42" s="2" t="s">
        <v>40</v>
      </c>
      <c r="I42" s="2" t="s">
        <v>8</v>
      </c>
      <c r="J42" s="2" t="s">
        <v>9</v>
      </c>
      <c r="K42" s="2" t="s">
        <v>41</v>
      </c>
      <c r="L42" s="2" t="s">
        <v>42</v>
      </c>
      <c r="M42" s="2" t="s">
        <v>43</v>
      </c>
      <c r="N42" s="2" t="s">
        <v>44</v>
      </c>
      <c r="O42" s="2" t="s">
        <v>45</v>
      </c>
      <c r="P42" s="2" t="s">
        <v>27</v>
      </c>
      <c r="Q42" s="2" t="s">
        <v>46</v>
      </c>
      <c r="R42" s="2" t="s">
        <v>47</v>
      </c>
      <c r="S42" s="2" t="s">
        <v>48</v>
      </c>
      <c r="T42" s="2" t="s">
        <v>49</v>
      </c>
    </row>
    <row r="43" spans="1:30" hidden="1" outlineLevel="1" collapsed="1" x14ac:dyDescent="0.2">
      <c r="A43" t="s">
        <v>34</v>
      </c>
      <c r="B43" s="4" t="s">
        <v>30</v>
      </c>
      <c r="C43" s="4" t="s">
        <v>136</v>
      </c>
      <c r="D43" s="4" t="s">
        <v>137</v>
      </c>
      <c r="E43" s="4">
        <v>1.26733E-2</v>
      </c>
      <c r="F43" s="4">
        <v>3.7876699999999999E-3</v>
      </c>
      <c r="G43" s="4">
        <v>1</v>
      </c>
      <c r="H43" s="4">
        <v>1</v>
      </c>
      <c r="I43" s="4">
        <v>1</v>
      </c>
      <c r="J43" s="4">
        <v>2</v>
      </c>
      <c r="K43" s="4" t="s">
        <v>127</v>
      </c>
      <c r="L43" s="4" t="s">
        <v>138</v>
      </c>
      <c r="M43" s="4" t="s">
        <v>34</v>
      </c>
      <c r="N43" s="4">
        <v>1</v>
      </c>
      <c r="O43" s="4">
        <v>1866.8637100000001</v>
      </c>
      <c r="P43" s="4" t="s">
        <v>30</v>
      </c>
      <c r="Q43" s="4" t="s">
        <v>30</v>
      </c>
      <c r="R43" s="4">
        <v>1.7669999999999999E-3</v>
      </c>
      <c r="S43" s="4">
        <v>4.6309999999999997E-3</v>
      </c>
      <c r="T43" s="4">
        <v>2.9</v>
      </c>
    </row>
    <row r="44" spans="1:30" hidden="1" outlineLevel="1" collapsed="1" x14ac:dyDescent="0.2">
      <c r="A44" t="s">
        <v>34</v>
      </c>
      <c r="B44" s="4" t="s">
        <v>30</v>
      </c>
      <c r="C44" s="4" t="s">
        <v>139</v>
      </c>
      <c r="D44" s="4" t="s">
        <v>34</v>
      </c>
      <c r="E44" s="4">
        <v>8.5502099999999998E-2</v>
      </c>
      <c r="F44" s="4">
        <v>3.7876699999999999E-3</v>
      </c>
      <c r="G44" s="4">
        <v>1</v>
      </c>
      <c r="H44" s="4">
        <v>1</v>
      </c>
      <c r="I44" s="4">
        <v>1</v>
      </c>
      <c r="J44" s="4">
        <v>1</v>
      </c>
      <c r="K44" s="4" t="s">
        <v>127</v>
      </c>
      <c r="L44" s="4" t="s">
        <v>140</v>
      </c>
      <c r="M44" s="4" t="s">
        <v>34</v>
      </c>
      <c r="N44" s="4">
        <v>0</v>
      </c>
      <c r="O44" s="4">
        <v>846.45672000000002</v>
      </c>
      <c r="P44" s="4" t="s">
        <v>30</v>
      </c>
      <c r="Q44" s="4" t="s">
        <v>30</v>
      </c>
      <c r="R44" s="4">
        <v>1.7669999999999999E-3</v>
      </c>
      <c r="S44" s="4">
        <v>3.9719999999999998E-2</v>
      </c>
      <c r="T44" s="4">
        <v>2.31</v>
      </c>
    </row>
    <row r="45" spans="1:30" hidden="1" outlineLevel="1" collapsed="1" x14ac:dyDescent="0.2">
      <c r="A45" t="s">
        <v>34</v>
      </c>
      <c r="B45" s="4" t="s">
        <v>30</v>
      </c>
      <c r="C45" s="4" t="s">
        <v>141</v>
      </c>
      <c r="D45" s="4" t="s">
        <v>34</v>
      </c>
      <c r="E45" s="4">
        <v>5.4572900000000001E-2</v>
      </c>
      <c r="F45" s="4">
        <v>3.7876699999999999E-3</v>
      </c>
      <c r="G45" s="4">
        <v>1</v>
      </c>
      <c r="H45" s="4">
        <v>1</v>
      </c>
      <c r="I45" s="4">
        <v>1</v>
      </c>
      <c r="J45" s="4">
        <v>1</v>
      </c>
      <c r="K45" s="4" t="s">
        <v>127</v>
      </c>
      <c r="L45" s="4" t="s">
        <v>142</v>
      </c>
      <c r="M45" s="4" t="s">
        <v>34</v>
      </c>
      <c r="N45" s="4">
        <v>0</v>
      </c>
      <c r="O45" s="4">
        <v>974.47892000000002</v>
      </c>
      <c r="P45" s="4" t="s">
        <v>30</v>
      </c>
      <c r="Q45" s="4" t="s">
        <v>30</v>
      </c>
      <c r="R45" s="4">
        <v>1.7669999999999999E-3</v>
      </c>
      <c r="S45" s="4">
        <v>2.3859999999999999E-2</v>
      </c>
      <c r="T45" s="4">
        <v>1.62</v>
      </c>
    </row>
    <row r="46" spans="1:30" hidden="1" outlineLevel="1" collapsed="1" x14ac:dyDescent="0.2">
      <c r="A46" t="s">
        <v>34</v>
      </c>
      <c r="B46" s="4" t="s">
        <v>30</v>
      </c>
      <c r="C46" s="4" t="s">
        <v>143</v>
      </c>
      <c r="D46" s="4" t="s">
        <v>144</v>
      </c>
      <c r="E46" s="4">
        <v>2.0875500000000002E-2</v>
      </c>
      <c r="F46" s="4">
        <v>3.7876699999999999E-3</v>
      </c>
      <c r="G46" s="4">
        <v>1</v>
      </c>
      <c r="H46" s="4">
        <v>1</v>
      </c>
      <c r="I46" s="4">
        <v>1</v>
      </c>
      <c r="J46" s="4">
        <v>1</v>
      </c>
      <c r="K46" s="4" t="s">
        <v>127</v>
      </c>
      <c r="L46" s="4" t="s">
        <v>145</v>
      </c>
      <c r="M46" s="4" t="s">
        <v>146</v>
      </c>
      <c r="N46" s="4">
        <v>0</v>
      </c>
      <c r="O46" s="4">
        <v>2744.1465199999998</v>
      </c>
      <c r="P46" s="4" t="s">
        <v>30</v>
      </c>
      <c r="Q46" s="4" t="s">
        <v>30</v>
      </c>
      <c r="R46" s="4">
        <v>1.7669999999999999E-3</v>
      </c>
      <c r="S46" s="4">
        <v>8.0789999999999994E-3</v>
      </c>
      <c r="T46" s="4">
        <v>3.03</v>
      </c>
    </row>
    <row r="47" spans="1:30" hidden="1" outlineLevel="1" collapsed="1" x14ac:dyDescent="0.2">
      <c r="A47" t="s">
        <v>34</v>
      </c>
      <c r="B47" s="4" t="s">
        <v>30</v>
      </c>
      <c r="C47" s="4" t="s">
        <v>147</v>
      </c>
      <c r="D47" s="4" t="s">
        <v>148</v>
      </c>
      <c r="E47" s="4">
        <v>2.6199099999999999E-2</v>
      </c>
      <c r="F47" s="4">
        <v>3.7876699999999999E-3</v>
      </c>
      <c r="G47" s="4">
        <v>1</v>
      </c>
      <c r="H47" s="4">
        <v>1</v>
      </c>
      <c r="I47" s="4">
        <v>1</v>
      </c>
      <c r="J47" s="4">
        <v>1</v>
      </c>
      <c r="K47" s="4" t="s">
        <v>127</v>
      </c>
      <c r="L47" s="4" t="s">
        <v>149</v>
      </c>
      <c r="M47" s="4" t="s">
        <v>34</v>
      </c>
      <c r="N47" s="4">
        <v>1</v>
      </c>
      <c r="O47" s="4">
        <v>1747.74125</v>
      </c>
      <c r="P47" s="4" t="s">
        <v>30</v>
      </c>
      <c r="Q47" s="4" t="s">
        <v>30</v>
      </c>
      <c r="R47" s="4">
        <v>1.7669999999999999E-3</v>
      </c>
      <c r="S47" s="4">
        <v>1.044E-2</v>
      </c>
      <c r="T47" s="4">
        <v>1.77</v>
      </c>
    </row>
    <row r="48" spans="1:30" hidden="1" outlineLevel="1" collapsed="1" x14ac:dyDescent="0.2">
      <c r="A48" t="s">
        <v>34</v>
      </c>
      <c r="B48" s="4" t="s">
        <v>30</v>
      </c>
      <c r="C48" s="4" t="s">
        <v>150</v>
      </c>
      <c r="D48" s="4" t="s">
        <v>34</v>
      </c>
      <c r="E48" s="4">
        <v>7.9180299999999995E-3</v>
      </c>
      <c r="F48" s="4">
        <v>3.7876699999999999E-3</v>
      </c>
      <c r="G48" s="4">
        <v>1</v>
      </c>
      <c r="H48" s="4">
        <v>1</v>
      </c>
      <c r="I48" s="4">
        <v>1</v>
      </c>
      <c r="J48" s="4">
        <v>3</v>
      </c>
      <c r="K48" s="4" t="s">
        <v>127</v>
      </c>
      <c r="L48" s="4" t="s">
        <v>151</v>
      </c>
      <c r="M48" s="4" t="s">
        <v>34</v>
      </c>
      <c r="N48" s="4">
        <v>1</v>
      </c>
      <c r="O48" s="4">
        <v>2498.0298200000002</v>
      </c>
      <c r="P48" s="4" t="s">
        <v>30</v>
      </c>
      <c r="Q48" s="4" t="s">
        <v>30</v>
      </c>
      <c r="R48" s="4">
        <v>1.7669999999999999E-3</v>
      </c>
      <c r="S48" s="4">
        <v>2.7369999999999998E-3</v>
      </c>
      <c r="T48" s="4">
        <v>4.1500000000000004</v>
      </c>
    </row>
    <row r="49" spans="1:20" hidden="1" outlineLevel="1" collapsed="1" x14ac:dyDescent="0.2">
      <c r="A49" t="s">
        <v>34</v>
      </c>
      <c r="B49" s="4" t="s">
        <v>30</v>
      </c>
      <c r="C49" s="4" t="s">
        <v>152</v>
      </c>
      <c r="D49" s="4" t="s">
        <v>34</v>
      </c>
      <c r="E49" s="4">
        <v>1.50172E-2</v>
      </c>
      <c r="F49" s="4">
        <v>3.7876699999999999E-3</v>
      </c>
      <c r="G49" s="4">
        <v>1</v>
      </c>
      <c r="H49" s="4">
        <v>1</v>
      </c>
      <c r="I49" s="4">
        <v>1</v>
      </c>
      <c r="J49" s="4">
        <v>3</v>
      </c>
      <c r="K49" s="4" t="s">
        <v>127</v>
      </c>
      <c r="L49" s="4" t="s">
        <v>153</v>
      </c>
      <c r="M49" s="4" t="s">
        <v>34</v>
      </c>
      <c r="N49" s="4">
        <v>0</v>
      </c>
      <c r="O49" s="4">
        <v>1120.56331</v>
      </c>
      <c r="P49" s="4" t="s">
        <v>30</v>
      </c>
      <c r="Q49" s="4" t="s">
        <v>30</v>
      </c>
      <c r="R49" s="4">
        <v>1.7669999999999999E-3</v>
      </c>
      <c r="S49" s="4">
        <v>5.5840000000000004E-3</v>
      </c>
      <c r="T49" s="4">
        <v>2.08</v>
      </c>
    </row>
    <row r="50" spans="1:20" hidden="1" outlineLevel="1" collapsed="1" x14ac:dyDescent="0.2">
      <c r="A50" t="s">
        <v>34</v>
      </c>
      <c r="B50" s="4" t="s">
        <v>30</v>
      </c>
      <c r="C50" s="4" t="s">
        <v>154</v>
      </c>
      <c r="D50" s="4" t="s">
        <v>34</v>
      </c>
      <c r="E50" s="4">
        <v>1.5611E-2</v>
      </c>
      <c r="F50" s="4">
        <v>3.7876699999999999E-3</v>
      </c>
      <c r="G50" s="4">
        <v>1</v>
      </c>
      <c r="H50" s="4">
        <v>1</v>
      </c>
      <c r="I50" s="4">
        <v>1</v>
      </c>
      <c r="J50" s="4">
        <v>2</v>
      </c>
      <c r="K50" s="4" t="s">
        <v>127</v>
      </c>
      <c r="L50" s="4" t="s">
        <v>155</v>
      </c>
      <c r="M50" s="4" t="s">
        <v>34</v>
      </c>
      <c r="N50" s="4">
        <v>0</v>
      </c>
      <c r="O50" s="4">
        <v>1062.55783</v>
      </c>
      <c r="P50" s="4" t="s">
        <v>30</v>
      </c>
      <c r="Q50" s="4" t="s">
        <v>30</v>
      </c>
      <c r="R50" s="4">
        <v>1.7669999999999999E-3</v>
      </c>
      <c r="S50" s="4">
        <v>5.849E-3</v>
      </c>
      <c r="T50" s="4">
        <v>1.74</v>
      </c>
    </row>
    <row r="51" spans="1:20" hidden="1" outlineLevel="1" collapsed="1" x14ac:dyDescent="0.2">
      <c r="A51" t="s">
        <v>34</v>
      </c>
      <c r="B51" s="4" t="s">
        <v>30</v>
      </c>
      <c r="C51" s="4" t="s">
        <v>156</v>
      </c>
      <c r="D51" s="4" t="s">
        <v>34</v>
      </c>
      <c r="E51" s="4">
        <v>0.13411600000000001</v>
      </c>
      <c r="F51" s="4">
        <v>3.7876699999999999E-3</v>
      </c>
      <c r="G51" s="4">
        <v>1</v>
      </c>
      <c r="H51" s="4">
        <v>1</v>
      </c>
      <c r="I51" s="4">
        <v>1</v>
      </c>
      <c r="J51" s="4">
        <v>1</v>
      </c>
      <c r="K51" s="4" t="s">
        <v>127</v>
      </c>
      <c r="L51" s="4" t="s">
        <v>157</v>
      </c>
      <c r="M51" s="4" t="s">
        <v>34</v>
      </c>
      <c r="N51" s="4">
        <v>1</v>
      </c>
      <c r="O51" s="4">
        <v>988.54218000000003</v>
      </c>
      <c r="P51" s="4" t="s">
        <v>30</v>
      </c>
      <c r="Q51" s="4" t="s">
        <v>30</v>
      </c>
      <c r="R51" s="4">
        <v>1.7669999999999999E-3</v>
      </c>
      <c r="S51" s="4">
        <v>6.6600000000000006E-2</v>
      </c>
      <c r="T51" s="4">
        <v>1.68</v>
      </c>
    </row>
    <row r="52" spans="1:20" hidden="1" outlineLevel="1" collapsed="1" x14ac:dyDescent="0.2">
      <c r="A52" t="s">
        <v>34</v>
      </c>
      <c r="B52" s="4" t="s">
        <v>30</v>
      </c>
      <c r="C52" s="4" t="s">
        <v>158</v>
      </c>
      <c r="D52" s="4" t="s">
        <v>34</v>
      </c>
      <c r="E52" s="4">
        <v>0.218588</v>
      </c>
      <c r="F52" s="4">
        <v>9.5666499999999995E-3</v>
      </c>
      <c r="G52" s="4">
        <v>1</v>
      </c>
      <c r="H52" s="4">
        <v>1</v>
      </c>
      <c r="I52" s="4">
        <v>1</v>
      </c>
      <c r="J52" s="4">
        <v>1</v>
      </c>
      <c r="K52" s="4" t="s">
        <v>127</v>
      </c>
      <c r="L52" s="4" t="s">
        <v>159</v>
      </c>
      <c r="M52" s="4" t="s">
        <v>34</v>
      </c>
      <c r="N52" s="4">
        <v>0</v>
      </c>
      <c r="O52" s="4">
        <v>974.47892000000002</v>
      </c>
      <c r="P52" s="4" t="s">
        <v>30</v>
      </c>
      <c r="Q52" s="4" t="s">
        <v>30</v>
      </c>
      <c r="R52" s="4">
        <v>4.1380000000000002E-3</v>
      </c>
      <c r="S52" s="4">
        <v>0.11799999999999999</v>
      </c>
      <c r="T52" s="4">
        <v>1.63</v>
      </c>
    </row>
    <row r="53" spans="1:20" hidden="1" outlineLevel="1" collapsed="1" x14ac:dyDescent="0.2">
      <c r="A53" t="s">
        <v>34</v>
      </c>
      <c r="B53" s="4" t="s">
        <v>30</v>
      </c>
      <c r="C53" s="4" t="s">
        <v>160</v>
      </c>
      <c r="D53" s="4" t="s">
        <v>34</v>
      </c>
      <c r="E53" s="4">
        <v>0.146896</v>
      </c>
      <c r="F53" s="4">
        <v>7.4059499999999997E-3</v>
      </c>
      <c r="G53" s="4">
        <v>1</v>
      </c>
      <c r="H53" s="4">
        <v>1</v>
      </c>
      <c r="I53" s="4">
        <v>1</v>
      </c>
      <c r="J53" s="4">
        <v>1</v>
      </c>
      <c r="K53" s="4" t="s">
        <v>127</v>
      </c>
      <c r="L53" s="4" t="s">
        <v>161</v>
      </c>
      <c r="M53" s="4" t="s">
        <v>34</v>
      </c>
      <c r="N53" s="4">
        <v>1</v>
      </c>
      <c r="O53" s="4">
        <v>1087.6357499999999</v>
      </c>
      <c r="P53" s="4" t="s">
        <v>30</v>
      </c>
      <c r="Q53" s="4" t="s">
        <v>30</v>
      </c>
      <c r="R53" s="4">
        <v>3.356E-3</v>
      </c>
      <c r="S53" s="4">
        <v>7.4029999999999999E-2</v>
      </c>
      <c r="T53" s="4">
        <v>1.97</v>
      </c>
    </row>
    <row r="54" spans="1:20" hidden="1" outlineLevel="1" collapsed="1" x14ac:dyDescent="0.2">
      <c r="A54" t="s">
        <v>34</v>
      </c>
      <c r="B54" s="4" t="s">
        <v>30</v>
      </c>
      <c r="C54" s="4" t="s">
        <v>162</v>
      </c>
      <c r="D54" s="4" t="s">
        <v>34</v>
      </c>
      <c r="E54" s="4">
        <v>0.117924</v>
      </c>
      <c r="F54" s="4">
        <v>3.7876699999999999E-3</v>
      </c>
      <c r="G54" s="4">
        <v>1</v>
      </c>
      <c r="H54" s="4">
        <v>1</v>
      </c>
      <c r="I54" s="4">
        <v>1</v>
      </c>
      <c r="J54" s="4">
        <v>1</v>
      </c>
      <c r="K54" s="4" t="s">
        <v>127</v>
      </c>
      <c r="L54" s="4" t="s">
        <v>163</v>
      </c>
      <c r="M54" s="4" t="s">
        <v>34</v>
      </c>
      <c r="N54" s="4">
        <v>0</v>
      </c>
      <c r="O54" s="4">
        <v>1542.8050000000001</v>
      </c>
      <c r="P54" s="4" t="s">
        <v>30</v>
      </c>
      <c r="Q54" s="4" t="s">
        <v>30</v>
      </c>
      <c r="R54" s="4">
        <v>1.7669999999999999E-3</v>
      </c>
      <c r="S54" s="4">
        <v>5.7369999999999997E-2</v>
      </c>
      <c r="T54" s="4">
        <v>1.41</v>
      </c>
    </row>
    <row r="55" spans="1:20" hidden="1" outlineLevel="1" collapsed="1" x14ac:dyDescent="0.2">
      <c r="A55" t="s">
        <v>34</v>
      </c>
      <c r="B55" s="4" t="s">
        <v>30</v>
      </c>
      <c r="C55" s="4" t="s">
        <v>164</v>
      </c>
      <c r="D55" s="4" t="s">
        <v>34</v>
      </c>
      <c r="E55" s="4">
        <v>3.3820700000000002E-2</v>
      </c>
      <c r="F55" s="4">
        <v>3.7876699999999999E-3</v>
      </c>
      <c r="G55" s="4">
        <v>1</v>
      </c>
      <c r="H55" s="4">
        <v>1</v>
      </c>
      <c r="I55" s="4">
        <v>1</v>
      </c>
      <c r="J55" s="4">
        <v>2</v>
      </c>
      <c r="K55" s="4" t="s">
        <v>127</v>
      </c>
      <c r="L55" s="4" t="s">
        <v>165</v>
      </c>
      <c r="M55" s="4" t="s">
        <v>34</v>
      </c>
      <c r="N55" s="4">
        <v>0</v>
      </c>
      <c r="O55" s="4">
        <v>1026.60545</v>
      </c>
      <c r="P55" s="4" t="s">
        <v>30</v>
      </c>
      <c r="Q55" s="4" t="s">
        <v>30</v>
      </c>
      <c r="R55" s="4">
        <v>1.7669999999999999E-3</v>
      </c>
      <c r="S55" s="4">
        <v>1.392E-2</v>
      </c>
      <c r="T55" s="4">
        <v>1.43</v>
      </c>
    </row>
    <row r="56" spans="1:20" hidden="1" outlineLevel="1" collapsed="1" x14ac:dyDescent="0.2">
      <c r="A56" t="s">
        <v>34</v>
      </c>
      <c r="B56" s="4" t="s">
        <v>30</v>
      </c>
      <c r="C56" s="4" t="s">
        <v>166</v>
      </c>
      <c r="D56" s="4" t="s">
        <v>167</v>
      </c>
      <c r="E56" s="4">
        <v>1.9689199999999999E-3</v>
      </c>
      <c r="F56" s="4">
        <v>3.7876699999999999E-3</v>
      </c>
      <c r="G56" s="4">
        <v>1</v>
      </c>
      <c r="H56" s="4">
        <v>1</v>
      </c>
      <c r="I56" s="4">
        <v>1</v>
      </c>
      <c r="J56" s="4">
        <v>2</v>
      </c>
      <c r="K56" s="4" t="s">
        <v>127</v>
      </c>
      <c r="L56" s="4" t="s">
        <v>168</v>
      </c>
      <c r="M56" s="4" t="s">
        <v>34</v>
      </c>
      <c r="N56" s="4">
        <v>1</v>
      </c>
      <c r="O56" s="4">
        <v>1575.80468</v>
      </c>
      <c r="P56" s="4" t="s">
        <v>30</v>
      </c>
      <c r="Q56" s="4" t="s">
        <v>30</v>
      </c>
      <c r="R56" s="4">
        <v>1.7669999999999999E-3</v>
      </c>
      <c r="S56" s="4">
        <v>5.7799999999999995E-4</v>
      </c>
      <c r="T56" s="4">
        <v>4.5</v>
      </c>
    </row>
    <row r="57" spans="1:20" hidden="1" outlineLevel="1" collapsed="1" x14ac:dyDescent="0.2">
      <c r="A57" t="s">
        <v>34</v>
      </c>
      <c r="B57" s="4" t="s">
        <v>30</v>
      </c>
      <c r="C57" s="4" t="s">
        <v>169</v>
      </c>
      <c r="D57" s="4" t="s">
        <v>34</v>
      </c>
      <c r="E57" s="4">
        <v>0.16661599999999999</v>
      </c>
      <c r="F57" s="4">
        <v>9.5666499999999995E-3</v>
      </c>
      <c r="G57" s="4">
        <v>1</v>
      </c>
      <c r="H57" s="4">
        <v>1</v>
      </c>
      <c r="I57" s="4">
        <v>1</v>
      </c>
      <c r="J57" s="4">
        <v>1</v>
      </c>
      <c r="K57" s="4" t="s">
        <v>127</v>
      </c>
      <c r="L57" s="4" t="s">
        <v>170</v>
      </c>
      <c r="M57" s="4" t="s">
        <v>34</v>
      </c>
      <c r="N57" s="4">
        <v>0</v>
      </c>
      <c r="O57" s="4">
        <v>1141.6463200000001</v>
      </c>
      <c r="P57" s="4" t="s">
        <v>30</v>
      </c>
      <c r="Q57" s="4" t="s">
        <v>30</v>
      </c>
      <c r="R57" s="4">
        <v>4.1380000000000002E-3</v>
      </c>
      <c r="S57" s="4">
        <v>8.5819999999999994E-2</v>
      </c>
      <c r="T57" s="4">
        <v>1.07</v>
      </c>
    </row>
    <row r="58" spans="1:20" hidden="1" outlineLevel="1" collapsed="1" x14ac:dyDescent="0.2">
      <c r="A58" t="s">
        <v>34</v>
      </c>
      <c r="B58" s="4" t="s">
        <v>30</v>
      </c>
      <c r="C58" s="4" t="s">
        <v>171</v>
      </c>
      <c r="D58" s="4" t="s">
        <v>34</v>
      </c>
      <c r="E58" s="4">
        <v>2.9556200000000001E-2</v>
      </c>
      <c r="F58" s="4">
        <v>3.7876699999999999E-3</v>
      </c>
      <c r="G58" s="4">
        <v>1</v>
      </c>
      <c r="H58" s="4">
        <v>1</v>
      </c>
      <c r="I58" s="4">
        <v>1</v>
      </c>
      <c r="J58" s="4">
        <v>3</v>
      </c>
      <c r="K58" s="4" t="s">
        <v>127</v>
      </c>
      <c r="L58" s="4" t="s">
        <v>172</v>
      </c>
      <c r="M58" s="4" t="s">
        <v>34</v>
      </c>
      <c r="N58" s="4">
        <v>0</v>
      </c>
      <c r="O58" s="4">
        <v>1654.79187</v>
      </c>
      <c r="P58" s="4" t="s">
        <v>30</v>
      </c>
      <c r="Q58" s="4" t="s">
        <v>30</v>
      </c>
      <c r="R58" s="4">
        <v>1.7669999999999999E-3</v>
      </c>
      <c r="S58" s="4">
        <v>1.193E-2</v>
      </c>
      <c r="T58" s="4">
        <v>2.62</v>
      </c>
    </row>
    <row r="59" spans="1:20" hidden="1" outlineLevel="1" collapsed="1" x14ac:dyDescent="0.2">
      <c r="A59" t="s">
        <v>34</v>
      </c>
      <c r="B59" s="4" t="s">
        <v>30</v>
      </c>
      <c r="C59" s="4" t="s">
        <v>173</v>
      </c>
      <c r="D59" s="4" t="s">
        <v>34</v>
      </c>
      <c r="E59" s="4">
        <v>1.5839599999999999E-2</v>
      </c>
      <c r="F59" s="4">
        <v>3.7876699999999999E-3</v>
      </c>
      <c r="G59" s="4">
        <v>1</v>
      </c>
      <c r="H59" s="4">
        <v>1</v>
      </c>
      <c r="I59" s="4">
        <v>1</v>
      </c>
      <c r="J59" s="4">
        <v>1</v>
      </c>
      <c r="K59" s="4" t="s">
        <v>127</v>
      </c>
      <c r="L59" s="4" t="s">
        <v>174</v>
      </c>
      <c r="M59" s="4" t="s">
        <v>34</v>
      </c>
      <c r="N59" s="4">
        <v>0</v>
      </c>
      <c r="O59" s="4">
        <v>1150.6102599999999</v>
      </c>
      <c r="P59" s="4" t="s">
        <v>30</v>
      </c>
      <c r="Q59" s="4" t="s">
        <v>30</v>
      </c>
      <c r="R59" s="4">
        <v>1.7669999999999999E-3</v>
      </c>
      <c r="S59" s="4">
        <v>5.9500000000000004E-3</v>
      </c>
      <c r="T59" s="4">
        <v>1.38</v>
      </c>
    </row>
    <row r="60" spans="1:20" hidden="1" outlineLevel="1" collapsed="1" x14ac:dyDescent="0.2">
      <c r="A60" t="s">
        <v>34</v>
      </c>
      <c r="B60" s="4" t="s">
        <v>30</v>
      </c>
      <c r="C60" s="4" t="s">
        <v>175</v>
      </c>
      <c r="D60" s="4" t="s">
        <v>34</v>
      </c>
      <c r="E60" s="4">
        <v>1.8496100000000001E-2</v>
      </c>
      <c r="F60" s="4">
        <v>3.7876699999999999E-3</v>
      </c>
      <c r="G60" s="4">
        <v>1</v>
      </c>
      <c r="H60" s="4">
        <v>1</v>
      </c>
      <c r="I60" s="4">
        <v>1</v>
      </c>
      <c r="J60" s="4">
        <v>1</v>
      </c>
      <c r="K60" s="4" t="s">
        <v>127</v>
      </c>
      <c r="L60" s="4" t="s">
        <v>176</v>
      </c>
      <c r="M60" s="4" t="s">
        <v>34</v>
      </c>
      <c r="N60" s="4">
        <v>0</v>
      </c>
      <c r="O60" s="4">
        <v>1533.68496</v>
      </c>
      <c r="P60" s="4" t="s">
        <v>30</v>
      </c>
      <c r="Q60" s="4" t="s">
        <v>30</v>
      </c>
      <c r="R60" s="4">
        <v>1.7669999999999999E-3</v>
      </c>
      <c r="S60" s="4">
        <v>7.0679999999999996E-3</v>
      </c>
      <c r="T60" s="4">
        <v>2.48</v>
      </c>
    </row>
    <row r="61" spans="1:20" hidden="1" outlineLevel="1" collapsed="1" x14ac:dyDescent="0.2">
      <c r="A61" t="s">
        <v>34</v>
      </c>
      <c r="B61" s="4" t="s">
        <v>30</v>
      </c>
      <c r="C61" s="4" t="s">
        <v>175</v>
      </c>
      <c r="D61" s="4" t="s">
        <v>177</v>
      </c>
      <c r="E61" s="4">
        <v>3.1492100000000002E-4</v>
      </c>
      <c r="F61" s="4">
        <v>3.7876699999999999E-3</v>
      </c>
      <c r="G61" s="4">
        <v>1</v>
      </c>
      <c r="H61" s="4">
        <v>1</v>
      </c>
      <c r="I61" s="4">
        <v>1</v>
      </c>
      <c r="J61" s="4">
        <v>15</v>
      </c>
      <c r="K61" s="4" t="s">
        <v>127</v>
      </c>
      <c r="L61" s="4" t="s">
        <v>176</v>
      </c>
      <c r="M61" s="4" t="s">
        <v>34</v>
      </c>
      <c r="N61" s="4">
        <v>0</v>
      </c>
      <c r="O61" s="4">
        <v>1549.6798799999999</v>
      </c>
      <c r="P61" s="4" t="s">
        <v>30</v>
      </c>
      <c r="Q61" s="4" t="s">
        <v>30</v>
      </c>
      <c r="R61" s="4">
        <v>1.7669999999999999E-3</v>
      </c>
      <c r="S61" s="4">
        <v>7.4560000000000004E-5</v>
      </c>
      <c r="T61" s="4">
        <v>3.7</v>
      </c>
    </row>
    <row r="62" spans="1:20" hidden="1" outlineLevel="1" collapsed="1" x14ac:dyDescent="0.2">
      <c r="A62" t="s">
        <v>34</v>
      </c>
      <c r="B62" s="4" t="s">
        <v>30</v>
      </c>
      <c r="C62" s="4" t="s">
        <v>178</v>
      </c>
      <c r="D62" s="4" t="s">
        <v>179</v>
      </c>
      <c r="E62" s="4">
        <v>0.213947</v>
      </c>
      <c r="F62" s="4">
        <v>9.5666499999999995E-3</v>
      </c>
      <c r="G62" s="4">
        <v>1</v>
      </c>
      <c r="H62" s="4">
        <v>1</v>
      </c>
      <c r="I62" s="4">
        <v>1</v>
      </c>
      <c r="J62" s="4">
        <v>1</v>
      </c>
      <c r="K62" s="4" t="s">
        <v>127</v>
      </c>
      <c r="L62" s="4" t="s">
        <v>180</v>
      </c>
      <c r="M62" s="4" t="s">
        <v>181</v>
      </c>
      <c r="N62" s="4">
        <v>0</v>
      </c>
      <c r="O62" s="4">
        <v>1265.5595699999999</v>
      </c>
      <c r="P62" s="4" t="s">
        <v>30</v>
      </c>
      <c r="Q62" s="4" t="s">
        <v>30</v>
      </c>
      <c r="R62" s="4">
        <v>4.1380000000000002E-3</v>
      </c>
      <c r="S62" s="4">
        <v>0.1149</v>
      </c>
      <c r="T62" s="4">
        <v>2.4700000000000002</v>
      </c>
    </row>
    <row r="63" spans="1:20" hidden="1" outlineLevel="1" collapsed="1" x14ac:dyDescent="0.2">
      <c r="A63" t="s">
        <v>34</v>
      </c>
      <c r="B63" s="4" t="s">
        <v>30</v>
      </c>
      <c r="C63" s="4" t="s">
        <v>182</v>
      </c>
      <c r="D63" s="4" t="s">
        <v>34</v>
      </c>
      <c r="E63" s="4">
        <v>4.3610699999999999E-3</v>
      </c>
      <c r="F63" s="4">
        <v>3.7876699999999999E-3</v>
      </c>
      <c r="G63" s="4">
        <v>1</v>
      </c>
      <c r="H63" s="4">
        <v>1</v>
      </c>
      <c r="I63" s="4">
        <v>1</v>
      </c>
      <c r="J63" s="4">
        <v>3</v>
      </c>
      <c r="K63" s="4" t="s">
        <v>127</v>
      </c>
      <c r="L63" s="4" t="s">
        <v>183</v>
      </c>
      <c r="M63" s="4" t="s">
        <v>34</v>
      </c>
      <c r="N63" s="4">
        <v>1</v>
      </c>
      <c r="O63" s="4">
        <v>2003.97677</v>
      </c>
      <c r="P63" s="4" t="s">
        <v>30</v>
      </c>
      <c r="Q63" s="4" t="s">
        <v>30</v>
      </c>
      <c r="R63" s="4">
        <v>1.7669999999999999E-3</v>
      </c>
      <c r="S63" s="4">
        <v>1.405E-3</v>
      </c>
      <c r="T63" s="4">
        <v>3.24</v>
      </c>
    </row>
    <row r="64" spans="1:20" hidden="1" outlineLevel="1" collapsed="1" x14ac:dyDescent="0.2">
      <c r="A64" t="s">
        <v>34</v>
      </c>
      <c r="B64" s="4" t="s">
        <v>30</v>
      </c>
      <c r="C64" s="4" t="s">
        <v>184</v>
      </c>
      <c r="D64" s="4" t="s">
        <v>34</v>
      </c>
      <c r="E64" s="4">
        <v>1.1606100000000001E-3</v>
      </c>
      <c r="F64" s="4">
        <v>3.7876699999999999E-3</v>
      </c>
      <c r="G64" s="4">
        <v>1</v>
      </c>
      <c r="H64" s="4">
        <v>1</v>
      </c>
      <c r="I64" s="4">
        <v>1</v>
      </c>
      <c r="J64" s="4">
        <v>2</v>
      </c>
      <c r="K64" s="4" t="s">
        <v>127</v>
      </c>
      <c r="L64" s="4" t="s">
        <v>185</v>
      </c>
      <c r="M64" s="4" t="s">
        <v>34</v>
      </c>
      <c r="N64" s="4">
        <v>0</v>
      </c>
      <c r="O64" s="4">
        <v>1381.6594</v>
      </c>
      <c r="P64" s="4" t="s">
        <v>30</v>
      </c>
      <c r="Q64" s="4" t="s">
        <v>30</v>
      </c>
      <c r="R64" s="4">
        <v>1.7669999999999999E-3</v>
      </c>
      <c r="S64" s="4">
        <v>3.2069999999999999E-4</v>
      </c>
      <c r="T64" s="4">
        <v>3.16</v>
      </c>
    </row>
    <row r="65" spans="1:30" hidden="1" outlineLevel="1" collapsed="1" x14ac:dyDescent="0.2">
      <c r="A65" t="s">
        <v>34</v>
      </c>
      <c r="B65" s="4" t="s">
        <v>30</v>
      </c>
      <c r="C65" s="4" t="s">
        <v>184</v>
      </c>
      <c r="D65" s="4" t="s">
        <v>186</v>
      </c>
      <c r="E65" s="4">
        <v>9.4740399999999995E-3</v>
      </c>
      <c r="F65" s="4">
        <v>3.7876699999999999E-3</v>
      </c>
      <c r="G65" s="4">
        <v>1</v>
      </c>
      <c r="H65" s="4">
        <v>1</v>
      </c>
      <c r="I65" s="4">
        <v>1</v>
      </c>
      <c r="J65" s="4">
        <v>1</v>
      </c>
      <c r="K65" s="4" t="s">
        <v>127</v>
      </c>
      <c r="L65" s="4" t="s">
        <v>185</v>
      </c>
      <c r="M65" s="4" t="s">
        <v>187</v>
      </c>
      <c r="N65" s="4">
        <v>0</v>
      </c>
      <c r="O65" s="4">
        <v>1461.62573</v>
      </c>
      <c r="P65" s="4" t="s">
        <v>30</v>
      </c>
      <c r="Q65" s="4" t="s">
        <v>30</v>
      </c>
      <c r="R65" s="4">
        <v>1.7669999999999999E-3</v>
      </c>
      <c r="S65" s="4">
        <v>3.339E-3</v>
      </c>
      <c r="T65" s="4">
        <v>3.52</v>
      </c>
    </row>
    <row r="66" spans="1:30" hidden="1" outlineLevel="1" collapsed="1" x14ac:dyDescent="0.2">
      <c r="A66" t="s">
        <v>34</v>
      </c>
      <c r="B66" s="4" t="s">
        <v>30</v>
      </c>
      <c r="C66" s="4" t="s">
        <v>188</v>
      </c>
      <c r="D66" s="4" t="s">
        <v>189</v>
      </c>
      <c r="E66" s="4">
        <v>0.197046</v>
      </c>
      <c r="F66" s="4">
        <v>9.5666499999999995E-3</v>
      </c>
      <c r="G66" s="4">
        <v>1</v>
      </c>
      <c r="H66" s="4">
        <v>1</v>
      </c>
      <c r="I66" s="4">
        <v>1</v>
      </c>
      <c r="J66" s="4">
        <v>1</v>
      </c>
      <c r="K66" s="4" t="s">
        <v>127</v>
      </c>
      <c r="L66" s="4" t="s">
        <v>190</v>
      </c>
      <c r="M66" s="4" t="s">
        <v>191</v>
      </c>
      <c r="N66" s="4">
        <v>1</v>
      </c>
      <c r="O66" s="4">
        <v>2417.0868</v>
      </c>
      <c r="P66" s="4" t="s">
        <v>30</v>
      </c>
      <c r="Q66" s="4" t="s">
        <v>30</v>
      </c>
      <c r="R66" s="4">
        <v>4.1380000000000002E-3</v>
      </c>
      <c r="S66" s="4">
        <v>0.1046</v>
      </c>
      <c r="T66" s="4">
        <v>1.75</v>
      </c>
    </row>
    <row r="67" spans="1:30" hidden="1" outlineLevel="1" collapsed="1" x14ac:dyDescent="0.2">
      <c r="A67" t="s">
        <v>34</v>
      </c>
      <c r="B67" s="4" t="s">
        <v>30</v>
      </c>
      <c r="C67" s="4" t="s">
        <v>192</v>
      </c>
      <c r="D67" s="4" t="s">
        <v>34</v>
      </c>
      <c r="E67" s="4">
        <v>4.1373100000000003E-2</v>
      </c>
      <c r="F67" s="4">
        <v>3.7876699999999999E-3</v>
      </c>
      <c r="G67" s="4">
        <v>1</v>
      </c>
      <c r="H67" s="4">
        <v>1</v>
      </c>
      <c r="I67" s="4">
        <v>1</v>
      </c>
      <c r="J67" s="4">
        <v>3</v>
      </c>
      <c r="K67" s="4" t="s">
        <v>127</v>
      </c>
      <c r="L67" s="4" t="s">
        <v>193</v>
      </c>
      <c r="M67" s="4" t="s">
        <v>34</v>
      </c>
      <c r="N67" s="4">
        <v>0</v>
      </c>
      <c r="O67" s="4">
        <v>1495.6295600000001</v>
      </c>
      <c r="P67" s="4" t="s">
        <v>30</v>
      </c>
      <c r="Q67" s="4" t="s">
        <v>30</v>
      </c>
      <c r="R67" s="4">
        <v>1.7669999999999999E-3</v>
      </c>
      <c r="S67" s="4">
        <v>1.7430000000000001E-2</v>
      </c>
      <c r="T67" s="4">
        <v>2.39</v>
      </c>
    </row>
    <row r="68" spans="1:30" hidden="1" outlineLevel="1" collapsed="1" x14ac:dyDescent="0.2">
      <c r="A68" t="s">
        <v>34</v>
      </c>
      <c r="B68" s="4" t="s">
        <v>30</v>
      </c>
      <c r="C68" s="4" t="s">
        <v>194</v>
      </c>
      <c r="D68" s="4" t="s">
        <v>34</v>
      </c>
      <c r="E68" s="4">
        <v>7.9684500000000005E-2</v>
      </c>
      <c r="F68" s="4">
        <v>3.7876699999999999E-3</v>
      </c>
      <c r="G68" s="4">
        <v>1</v>
      </c>
      <c r="H68" s="4">
        <v>1</v>
      </c>
      <c r="I68" s="4">
        <v>1</v>
      </c>
      <c r="J68" s="4">
        <v>1</v>
      </c>
      <c r="K68" s="4" t="s">
        <v>127</v>
      </c>
      <c r="L68" s="4" t="s">
        <v>195</v>
      </c>
      <c r="M68" s="4" t="s">
        <v>34</v>
      </c>
      <c r="N68" s="4">
        <v>0</v>
      </c>
      <c r="O68" s="4">
        <v>1244.57936</v>
      </c>
      <c r="P68" s="4" t="s">
        <v>30</v>
      </c>
      <c r="Q68" s="4" t="s">
        <v>30</v>
      </c>
      <c r="R68" s="4">
        <v>1.7669999999999999E-3</v>
      </c>
      <c r="S68" s="4">
        <v>3.662E-2</v>
      </c>
      <c r="T68" s="4">
        <v>1.56</v>
      </c>
    </row>
    <row r="69" spans="1:30" hidden="1" outlineLevel="1" collapsed="1" x14ac:dyDescent="0.2">
      <c r="A69" t="s">
        <v>34</v>
      </c>
      <c r="B69" s="4" t="s">
        <v>30</v>
      </c>
      <c r="C69" s="4" t="s">
        <v>196</v>
      </c>
      <c r="D69" s="4" t="s">
        <v>34</v>
      </c>
      <c r="E69" s="4">
        <v>8.5096E-4</v>
      </c>
      <c r="F69" s="4">
        <v>3.7876699999999999E-3</v>
      </c>
      <c r="G69" s="4">
        <v>1</v>
      </c>
      <c r="H69" s="4">
        <v>1</v>
      </c>
      <c r="I69" s="4">
        <v>1</v>
      </c>
      <c r="J69" s="4">
        <v>1</v>
      </c>
      <c r="K69" s="4" t="s">
        <v>127</v>
      </c>
      <c r="L69" s="4" t="s">
        <v>197</v>
      </c>
      <c r="M69" s="4" t="s">
        <v>34</v>
      </c>
      <c r="N69" s="4">
        <v>0</v>
      </c>
      <c r="O69" s="4">
        <v>1468.7390499999999</v>
      </c>
      <c r="P69" s="4" t="s">
        <v>30</v>
      </c>
      <c r="Q69" s="4" t="s">
        <v>30</v>
      </c>
      <c r="R69" s="4">
        <v>1.7669999999999999E-3</v>
      </c>
      <c r="S69" s="4">
        <v>2.2609999999999999E-4</v>
      </c>
      <c r="T69" s="4">
        <v>3.25</v>
      </c>
    </row>
    <row r="70" spans="1:30" hidden="1" outlineLevel="1" collapsed="1" x14ac:dyDescent="0.2">
      <c r="A70" t="s">
        <v>34</v>
      </c>
      <c r="B70" s="4" t="s">
        <v>30</v>
      </c>
      <c r="C70" s="4" t="s">
        <v>198</v>
      </c>
      <c r="D70" s="4" t="s">
        <v>34</v>
      </c>
      <c r="E70" s="4">
        <v>6.6497500000000003E-3</v>
      </c>
      <c r="F70" s="4">
        <v>3.7876699999999999E-3</v>
      </c>
      <c r="G70" s="4">
        <v>1</v>
      </c>
      <c r="H70" s="4">
        <v>1</v>
      </c>
      <c r="I70" s="4">
        <v>1</v>
      </c>
      <c r="J70" s="4">
        <v>2</v>
      </c>
      <c r="K70" s="4" t="s">
        <v>127</v>
      </c>
      <c r="L70" s="4" t="s">
        <v>199</v>
      </c>
      <c r="M70" s="4" t="s">
        <v>34</v>
      </c>
      <c r="N70" s="4">
        <v>0</v>
      </c>
      <c r="O70" s="4">
        <v>1153.59601</v>
      </c>
      <c r="P70" s="4" t="s">
        <v>30</v>
      </c>
      <c r="Q70" s="4" t="s">
        <v>30</v>
      </c>
      <c r="R70" s="4">
        <v>1.7669999999999999E-3</v>
      </c>
      <c r="S70" s="4">
        <v>2.2520000000000001E-3</v>
      </c>
      <c r="T70" s="4">
        <v>2.4900000000000002</v>
      </c>
    </row>
    <row r="71" spans="1:30" hidden="1" outlineLevel="1" collapsed="1" x14ac:dyDescent="0.2">
      <c r="A71" t="s">
        <v>34</v>
      </c>
      <c r="B71" s="4" t="s">
        <v>30</v>
      </c>
      <c r="C71" s="4" t="s">
        <v>200</v>
      </c>
      <c r="D71" s="4" t="s">
        <v>201</v>
      </c>
      <c r="E71" s="4">
        <v>4.2173200000000001E-2</v>
      </c>
      <c r="F71" s="4">
        <v>3.7876699999999999E-3</v>
      </c>
      <c r="G71" s="4">
        <v>1</v>
      </c>
      <c r="H71" s="4">
        <v>1</v>
      </c>
      <c r="I71" s="4">
        <v>1</v>
      </c>
      <c r="J71" s="4">
        <v>1</v>
      </c>
      <c r="K71" s="4" t="s">
        <v>127</v>
      </c>
      <c r="L71" s="4" t="s">
        <v>202</v>
      </c>
      <c r="M71" s="4" t="s">
        <v>203</v>
      </c>
      <c r="N71" s="4">
        <v>1</v>
      </c>
      <c r="O71" s="4">
        <v>1417.6107500000001</v>
      </c>
      <c r="P71" s="4" t="s">
        <v>30</v>
      </c>
      <c r="Q71" s="4" t="s">
        <v>30</v>
      </c>
      <c r="R71" s="4">
        <v>1.7669999999999999E-3</v>
      </c>
      <c r="S71" s="4">
        <v>1.7819999999999999E-2</v>
      </c>
      <c r="T71" s="4">
        <v>2.8</v>
      </c>
    </row>
    <row r="72" spans="1:30" hidden="1" outlineLevel="1" collapsed="1" x14ac:dyDescent="0.2">
      <c r="A72" t="s">
        <v>34</v>
      </c>
      <c r="B72" s="4" t="s">
        <v>30</v>
      </c>
      <c r="C72" s="4" t="s">
        <v>204</v>
      </c>
      <c r="D72" s="4" t="s">
        <v>34</v>
      </c>
      <c r="E72" s="4">
        <v>7.7102299999999999E-2</v>
      </c>
      <c r="F72" s="4">
        <v>3.7876699999999999E-3</v>
      </c>
      <c r="G72" s="4">
        <v>1</v>
      </c>
      <c r="H72" s="4">
        <v>1</v>
      </c>
      <c r="I72" s="4">
        <v>1</v>
      </c>
      <c r="J72" s="4">
        <v>2</v>
      </c>
      <c r="K72" s="4" t="s">
        <v>127</v>
      </c>
      <c r="L72" s="4" t="s">
        <v>205</v>
      </c>
      <c r="M72" s="4" t="s">
        <v>34</v>
      </c>
      <c r="N72" s="4">
        <v>0</v>
      </c>
      <c r="O72" s="4">
        <v>1036.4945700000001</v>
      </c>
      <c r="P72" s="4" t="s">
        <v>30</v>
      </c>
      <c r="Q72" s="4" t="s">
        <v>30</v>
      </c>
      <c r="R72" s="4">
        <v>1.7669999999999999E-3</v>
      </c>
      <c r="S72" s="4">
        <v>3.5360000000000003E-2</v>
      </c>
      <c r="T72" s="4">
        <v>1.4</v>
      </c>
    </row>
    <row r="73" spans="1:30" hidden="1" outlineLevel="1" collapsed="1" x14ac:dyDescent="0.2">
      <c r="A73" t="s">
        <v>34</v>
      </c>
      <c r="B73" s="4" t="s">
        <v>30</v>
      </c>
      <c r="C73" s="4" t="s">
        <v>206</v>
      </c>
      <c r="D73" s="4" t="s">
        <v>34</v>
      </c>
      <c r="E73" s="4">
        <v>4.2173200000000001E-2</v>
      </c>
      <c r="F73" s="4">
        <v>3.7876699999999999E-3</v>
      </c>
      <c r="G73" s="4">
        <v>1</v>
      </c>
      <c r="H73" s="4">
        <v>1</v>
      </c>
      <c r="I73" s="4">
        <v>1</v>
      </c>
      <c r="J73" s="4">
        <v>2</v>
      </c>
      <c r="K73" s="4" t="s">
        <v>127</v>
      </c>
      <c r="L73" s="4" t="s">
        <v>207</v>
      </c>
      <c r="M73" s="4" t="s">
        <v>34</v>
      </c>
      <c r="N73" s="4">
        <v>1</v>
      </c>
      <c r="O73" s="4">
        <v>1189.60591</v>
      </c>
      <c r="P73" s="4" t="s">
        <v>30</v>
      </c>
      <c r="Q73" s="4" t="s">
        <v>30</v>
      </c>
      <c r="R73" s="4">
        <v>1.7669999999999999E-3</v>
      </c>
      <c r="S73" s="4">
        <v>1.7829999999999999E-2</v>
      </c>
      <c r="T73" s="4">
        <v>2.74</v>
      </c>
    </row>
    <row r="74" spans="1:30" hidden="1" outlineLevel="1" collapsed="1" x14ac:dyDescent="0.2">
      <c r="A74" t="s">
        <v>34</v>
      </c>
      <c r="B74" s="4" t="s">
        <v>30</v>
      </c>
      <c r="C74" s="4" t="s">
        <v>208</v>
      </c>
      <c r="D74" s="4" t="s">
        <v>34</v>
      </c>
      <c r="E74" s="4">
        <v>5.4244799999999998E-3</v>
      </c>
      <c r="F74" s="4">
        <v>3.7876699999999999E-3</v>
      </c>
      <c r="G74" s="4">
        <v>1</v>
      </c>
      <c r="H74" s="4">
        <v>1</v>
      </c>
      <c r="I74" s="4">
        <v>1</v>
      </c>
      <c r="J74" s="4">
        <v>2</v>
      </c>
      <c r="K74" s="4" t="s">
        <v>127</v>
      </c>
      <c r="L74" s="4" t="s">
        <v>209</v>
      </c>
      <c r="M74" s="4" t="s">
        <v>34</v>
      </c>
      <c r="N74" s="4">
        <v>0</v>
      </c>
      <c r="O74" s="4">
        <v>1551.7397699999999</v>
      </c>
      <c r="P74" s="4" t="s">
        <v>30</v>
      </c>
      <c r="Q74" s="4" t="s">
        <v>30</v>
      </c>
      <c r="R74" s="4">
        <v>1.7669999999999999E-3</v>
      </c>
      <c r="S74" s="4">
        <v>1.7949999999999999E-3</v>
      </c>
      <c r="T74" s="4">
        <v>2.82</v>
      </c>
    </row>
    <row r="75" spans="1:30" hidden="1" outlineLevel="1" collapsed="1" x14ac:dyDescent="0.2">
      <c r="A75" t="s">
        <v>34</v>
      </c>
      <c r="B75" s="4" t="s">
        <v>30</v>
      </c>
      <c r="C75" s="4" t="s">
        <v>210</v>
      </c>
      <c r="D75" s="4" t="s">
        <v>34</v>
      </c>
      <c r="E75" s="4">
        <v>6.81294E-3</v>
      </c>
      <c r="F75" s="4">
        <v>3.7876699999999999E-3</v>
      </c>
      <c r="G75" s="4">
        <v>1</v>
      </c>
      <c r="H75" s="4">
        <v>1</v>
      </c>
      <c r="I75" s="4">
        <v>1</v>
      </c>
      <c r="J75" s="4">
        <v>1</v>
      </c>
      <c r="K75" s="4" t="s">
        <v>127</v>
      </c>
      <c r="L75" s="4" t="s">
        <v>211</v>
      </c>
      <c r="M75" s="4" t="s">
        <v>34</v>
      </c>
      <c r="N75" s="4">
        <v>0</v>
      </c>
      <c r="O75" s="4">
        <v>1303.67399</v>
      </c>
      <c r="P75" s="4" t="s">
        <v>30</v>
      </c>
      <c r="Q75" s="4" t="s">
        <v>30</v>
      </c>
      <c r="R75" s="4">
        <v>1.7669999999999999E-3</v>
      </c>
      <c r="S75" s="4">
        <v>2.3149999999999998E-3</v>
      </c>
      <c r="T75" s="4">
        <v>2.65</v>
      </c>
    </row>
    <row r="76" spans="1:30" hidden="1" outlineLevel="1" collapsed="1" x14ac:dyDescent="0.2">
      <c r="A76" t="s">
        <v>34</v>
      </c>
      <c r="B76" s="4" t="s">
        <v>30</v>
      </c>
      <c r="C76" s="4" t="s">
        <v>212</v>
      </c>
      <c r="D76" s="4" t="s">
        <v>34</v>
      </c>
      <c r="E76" s="4">
        <v>4.0159899999999997E-3</v>
      </c>
      <c r="F76" s="4">
        <v>3.7876699999999999E-3</v>
      </c>
      <c r="G76" s="4">
        <v>1</v>
      </c>
      <c r="H76" s="4">
        <v>1</v>
      </c>
      <c r="I76" s="4">
        <v>1</v>
      </c>
      <c r="J76" s="4">
        <v>1</v>
      </c>
      <c r="K76" s="4" t="s">
        <v>127</v>
      </c>
      <c r="L76" s="4" t="s">
        <v>213</v>
      </c>
      <c r="M76" s="4" t="s">
        <v>34</v>
      </c>
      <c r="N76" s="4">
        <v>0</v>
      </c>
      <c r="O76" s="4">
        <v>1260.7045599999999</v>
      </c>
      <c r="P76" s="4" t="s">
        <v>30</v>
      </c>
      <c r="Q76" s="4" t="s">
        <v>30</v>
      </c>
      <c r="R76" s="4">
        <v>1.7669999999999999E-3</v>
      </c>
      <c r="S76" s="4">
        <v>1.2780000000000001E-3</v>
      </c>
      <c r="T76" s="4">
        <v>3</v>
      </c>
    </row>
    <row r="77" spans="1:30" hidden="1" outlineLevel="1" collapsed="1" x14ac:dyDescent="0.2">
      <c r="A77" t="s">
        <v>34</v>
      </c>
      <c r="B77" s="4" t="s">
        <v>30</v>
      </c>
      <c r="C77" s="4" t="s">
        <v>214</v>
      </c>
      <c r="D77" s="4" t="s">
        <v>34</v>
      </c>
      <c r="E77" s="4">
        <v>1.9133799999999999E-2</v>
      </c>
      <c r="F77" s="4">
        <v>3.7876699999999999E-3</v>
      </c>
      <c r="G77" s="4">
        <v>1</v>
      </c>
      <c r="H77" s="4">
        <v>1</v>
      </c>
      <c r="I77" s="4">
        <v>1</v>
      </c>
      <c r="J77" s="4">
        <v>2</v>
      </c>
      <c r="K77" s="4" t="s">
        <v>127</v>
      </c>
      <c r="L77" s="4" t="s">
        <v>215</v>
      </c>
      <c r="M77" s="4" t="s">
        <v>34</v>
      </c>
      <c r="N77" s="4">
        <v>0</v>
      </c>
      <c r="O77" s="4">
        <v>1083.48406</v>
      </c>
      <c r="P77" s="4" t="s">
        <v>30</v>
      </c>
      <c r="Q77" s="4" t="s">
        <v>30</v>
      </c>
      <c r="R77" s="4">
        <v>1.7669999999999999E-3</v>
      </c>
      <c r="S77" s="4">
        <v>7.3309999999999998E-3</v>
      </c>
      <c r="T77" s="4">
        <v>2.09</v>
      </c>
    </row>
    <row r="78" spans="1:30" collapsed="1" x14ac:dyDescent="0.2">
      <c r="A78" s="3" t="s">
        <v>30</v>
      </c>
      <c r="B78" s="3" t="s">
        <v>31</v>
      </c>
      <c r="C78" s="3" t="s">
        <v>216</v>
      </c>
      <c r="D78" s="3" t="s">
        <v>217</v>
      </c>
      <c r="E78" s="3">
        <v>0</v>
      </c>
      <c r="F78" s="3">
        <v>72.765000000000001</v>
      </c>
      <c r="G78" s="3">
        <v>44</v>
      </c>
      <c r="H78" s="3">
        <v>26</v>
      </c>
      <c r="I78" s="3">
        <v>28</v>
      </c>
      <c r="J78" s="3">
        <v>72</v>
      </c>
      <c r="K78" s="3">
        <v>19</v>
      </c>
      <c r="L78" s="3">
        <v>645</v>
      </c>
      <c r="M78" s="3">
        <v>65.8</v>
      </c>
      <c r="N78" s="3">
        <v>8</v>
      </c>
      <c r="O78" s="3">
        <v>100.66</v>
      </c>
      <c r="P78" s="3">
        <v>26</v>
      </c>
      <c r="Q78" s="3" t="s">
        <v>34</v>
      </c>
      <c r="R78" s="3" t="s">
        <v>34</v>
      </c>
      <c r="S78" s="3" t="s">
        <v>34</v>
      </c>
      <c r="T78" s="3" t="s">
        <v>34</v>
      </c>
      <c r="U78" s="3" t="s">
        <v>34</v>
      </c>
      <c r="V78" s="3" t="s">
        <v>216</v>
      </c>
      <c r="W78" s="3" t="s">
        <v>34</v>
      </c>
      <c r="X78" s="3" t="s">
        <v>34</v>
      </c>
      <c r="Y78" s="3" t="s">
        <v>34</v>
      </c>
      <c r="Z78" s="3" t="s">
        <v>34</v>
      </c>
      <c r="AA78" s="3">
        <v>0</v>
      </c>
      <c r="AB78" s="3" t="s">
        <v>30</v>
      </c>
      <c r="AC78" s="3">
        <v>1</v>
      </c>
      <c r="AD78" s="3" t="s">
        <v>34</v>
      </c>
    </row>
    <row r="79" spans="1:30" hidden="1" outlineLevel="1" collapsed="1" x14ac:dyDescent="0.2">
      <c r="A79" t="s">
        <v>34</v>
      </c>
      <c r="B79" s="2" t="s">
        <v>36</v>
      </c>
      <c r="C79" s="2" t="s">
        <v>37</v>
      </c>
      <c r="D79" s="2" t="s">
        <v>29</v>
      </c>
      <c r="E79" s="2" t="s">
        <v>38</v>
      </c>
      <c r="F79" s="2" t="s">
        <v>39</v>
      </c>
      <c r="G79" s="2" t="s">
        <v>28</v>
      </c>
      <c r="H79" s="2" t="s">
        <v>40</v>
      </c>
      <c r="I79" s="2" t="s">
        <v>8</v>
      </c>
      <c r="J79" s="2" t="s">
        <v>9</v>
      </c>
      <c r="K79" s="2" t="s">
        <v>41</v>
      </c>
      <c r="L79" s="2" t="s">
        <v>42</v>
      </c>
      <c r="M79" s="2" t="s">
        <v>43</v>
      </c>
      <c r="N79" s="2" t="s">
        <v>44</v>
      </c>
      <c r="O79" s="2" t="s">
        <v>45</v>
      </c>
      <c r="P79" s="2" t="s">
        <v>27</v>
      </c>
      <c r="Q79" s="2" t="s">
        <v>46</v>
      </c>
      <c r="R79" s="2" t="s">
        <v>47</v>
      </c>
      <c r="S79" s="2" t="s">
        <v>48</v>
      </c>
      <c r="T79" s="2" t="s">
        <v>49</v>
      </c>
    </row>
    <row r="80" spans="1:30" hidden="1" outlineLevel="1" collapsed="1" x14ac:dyDescent="0.2">
      <c r="A80" t="s">
        <v>34</v>
      </c>
      <c r="B80" s="4" t="s">
        <v>30</v>
      </c>
      <c r="C80" s="4" t="s">
        <v>218</v>
      </c>
      <c r="D80" s="4" t="s">
        <v>34</v>
      </c>
      <c r="E80" s="4">
        <v>3.4643399999999998E-2</v>
      </c>
      <c r="F80" s="4">
        <v>3.7876699999999999E-3</v>
      </c>
      <c r="G80" s="4">
        <v>4</v>
      </c>
      <c r="H80" s="4">
        <v>7</v>
      </c>
      <c r="I80" s="4">
        <v>1</v>
      </c>
      <c r="J80" s="4">
        <v>2</v>
      </c>
      <c r="K80" s="4" t="s">
        <v>219</v>
      </c>
      <c r="L80" s="4" t="s">
        <v>220</v>
      </c>
      <c r="M80" s="4" t="s">
        <v>34</v>
      </c>
      <c r="N80" s="4">
        <v>0</v>
      </c>
      <c r="O80" s="4">
        <v>1107.5429099999999</v>
      </c>
      <c r="P80" s="4" t="s">
        <v>30</v>
      </c>
      <c r="Q80" s="4" t="s">
        <v>30</v>
      </c>
      <c r="R80" s="4">
        <v>1.7669999999999999E-3</v>
      </c>
      <c r="S80" s="4">
        <v>1.43E-2</v>
      </c>
      <c r="T80" s="4">
        <v>2.1</v>
      </c>
    </row>
    <row r="81" spans="1:20" hidden="1" outlineLevel="1" collapsed="1" x14ac:dyDescent="0.2">
      <c r="A81" t="s">
        <v>34</v>
      </c>
      <c r="B81" s="4" t="s">
        <v>30</v>
      </c>
      <c r="C81" s="4" t="s">
        <v>221</v>
      </c>
      <c r="D81" s="4" t="s">
        <v>34</v>
      </c>
      <c r="E81" s="4">
        <v>4.7527699999999999E-2</v>
      </c>
      <c r="F81" s="4">
        <v>3.7876699999999999E-3</v>
      </c>
      <c r="G81" s="4">
        <v>1</v>
      </c>
      <c r="H81" s="4">
        <v>1</v>
      </c>
      <c r="I81" s="4">
        <v>1</v>
      </c>
      <c r="J81" s="4">
        <v>2</v>
      </c>
      <c r="K81" s="4" t="s">
        <v>216</v>
      </c>
      <c r="L81" s="4" t="s">
        <v>222</v>
      </c>
      <c r="M81" s="4" t="s">
        <v>34</v>
      </c>
      <c r="N81" s="4">
        <v>0</v>
      </c>
      <c r="O81" s="4">
        <v>1068.5030200000001</v>
      </c>
      <c r="P81" s="4" t="s">
        <v>30</v>
      </c>
      <c r="Q81" s="4" t="s">
        <v>30</v>
      </c>
      <c r="R81" s="4">
        <v>1.7669999999999999E-3</v>
      </c>
      <c r="S81" s="4">
        <v>2.0330000000000001E-2</v>
      </c>
      <c r="T81" s="4">
        <v>1.87</v>
      </c>
    </row>
    <row r="82" spans="1:20" hidden="1" outlineLevel="1" collapsed="1" x14ac:dyDescent="0.2">
      <c r="A82" t="s">
        <v>34</v>
      </c>
      <c r="B82" s="4" t="s">
        <v>30</v>
      </c>
      <c r="C82" s="4" t="s">
        <v>221</v>
      </c>
      <c r="D82" s="4" t="s">
        <v>58</v>
      </c>
      <c r="E82" s="4">
        <v>6.2928200000000004E-2</v>
      </c>
      <c r="F82" s="4">
        <v>3.7876699999999999E-3</v>
      </c>
      <c r="G82" s="4">
        <v>1</v>
      </c>
      <c r="H82" s="4">
        <v>1</v>
      </c>
      <c r="I82" s="4">
        <v>1</v>
      </c>
      <c r="J82" s="4">
        <v>6</v>
      </c>
      <c r="K82" s="4" t="s">
        <v>216</v>
      </c>
      <c r="L82" s="4" t="s">
        <v>222</v>
      </c>
      <c r="M82" s="4" t="s">
        <v>34</v>
      </c>
      <c r="N82" s="4">
        <v>0</v>
      </c>
      <c r="O82" s="4">
        <v>1084.49794</v>
      </c>
      <c r="P82" s="4" t="s">
        <v>30</v>
      </c>
      <c r="Q82" s="4" t="s">
        <v>30</v>
      </c>
      <c r="R82" s="4">
        <v>1.7669999999999999E-3</v>
      </c>
      <c r="S82" s="4">
        <v>2.8049999999999999E-2</v>
      </c>
      <c r="T82" s="4">
        <v>2.2200000000000002</v>
      </c>
    </row>
    <row r="83" spans="1:20" hidden="1" outlineLevel="1" collapsed="1" x14ac:dyDescent="0.2">
      <c r="A83" t="s">
        <v>34</v>
      </c>
      <c r="B83" s="4" t="s">
        <v>30</v>
      </c>
      <c r="C83" s="4" t="s">
        <v>223</v>
      </c>
      <c r="D83" s="4" t="s">
        <v>34</v>
      </c>
      <c r="E83" s="4">
        <v>4.2578900000000003E-2</v>
      </c>
      <c r="F83" s="4">
        <v>3.7876699999999999E-3</v>
      </c>
      <c r="G83" s="4">
        <v>3</v>
      </c>
      <c r="H83" s="4">
        <v>4</v>
      </c>
      <c r="I83" s="4">
        <v>1</v>
      </c>
      <c r="J83" s="4">
        <v>1</v>
      </c>
      <c r="K83" s="4" t="s">
        <v>224</v>
      </c>
      <c r="L83" s="4" t="s">
        <v>225</v>
      </c>
      <c r="M83" s="4" t="s">
        <v>34</v>
      </c>
      <c r="N83" s="4">
        <v>0</v>
      </c>
      <c r="O83" s="4">
        <v>1139.5401400000001</v>
      </c>
      <c r="P83" s="4" t="s">
        <v>30</v>
      </c>
      <c r="Q83" s="4" t="s">
        <v>30</v>
      </c>
      <c r="R83" s="4">
        <v>1.7669999999999999E-3</v>
      </c>
      <c r="S83" s="4">
        <v>1.796E-2</v>
      </c>
      <c r="T83" s="4">
        <v>2.84</v>
      </c>
    </row>
    <row r="84" spans="1:20" hidden="1" outlineLevel="1" collapsed="1" x14ac:dyDescent="0.2">
      <c r="A84" t="s">
        <v>34</v>
      </c>
      <c r="B84" s="4" t="s">
        <v>30</v>
      </c>
      <c r="C84" s="4" t="s">
        <v>223</v>
      </c>
      <c r="D84" s="4" t="s">
        <v>61</v>
      </c>
      <c r="E84" s="4">
        <v>3.4978000000000002E-2</v>
      </c>
      <c r="F84" s="4">
        <v>3.7876699999999999E-3</v>
      </c>
      <c r="G84" s="4">
        <v>3</v>
      </c>
      <c r="H84" s="4">
        <v>4</v>
      </c>
      <c r="I84" s="4">
        <v>1</v>
      </c>
      <c r="J84" s="4">
        <v>1</v>
      </c>
      <c r="K84" s="4" t="s">
        <v>224</v>
      </c>
      <c r="L84" s="4" t="s">
        <v>225</v>
      </c>
      <c r="M84" s="4" t="s">
        <v>34</v>
      </c>
      <c r="N84" s="4">
        <v>0</v>
      </c>
      <c r="O84" s="4">
        <v>1155.53505</v>
      </c>
      <c r="P84" s="4" t="s">
        <v>30</v>
      </c>
      <c r="Q84" s="4" t="s">
        <v>30</v>
      </c>
      <c r="R84" s="4">
        <v>1.7669999999999999E-3</v>
      </c>
      <c r="S84" s="4">
        <v>1.4409999999999999E-2</v>
      </c>
      <c r="T84" s="4">
        <v>1.84</v>
      </c>
    </row>
    <row r="85" spans="1:20" hidden="1" outlineLevel="1" collapsed="1" x14ac:dyDescent="0.2">
      <c r="A85" t="s">
        <v>34</v>
      </c>
      <c r="B85" s="4" t="s">
        <v>30</v>
      </c>
      <c r="C85" s="4" t="s">
        <v>226</v>
      </c>
      <c r="D85" s="4" t="s">
        <v>34</v>
      </c>
      <c r="E85" s="4">
        <v>4.0587900000000003E-2</v>
      </c>
      <c r="F85" s="4">
        <v>3.7876699999999999E-3</v>
      </c>
      <c r="G85" s="4">
        <v>1</v>
      </c>
      <c r="H85" s="4">
        <v>1</v>
      </c>
      <c r="I85" s="4">
        <v>1</v>
      </c>
      <c r="J85" s="4">
        <v>2</v>
      </c>
      <c r="K85" s="4" t="s">
        <v>216</v>
      </c>
      <c r="L85" s="4" t="s">
        <v>227</v>
      </c>
      <c r="M85" s="4" t="s">
        <v>34</v>
      </c>
      <c r="N85" s="4">
        <v>0</v>
      </c>
      <c r="O85" s="4">
        <v>1176.55314</v>
      </c>
      <c r="P85" s="4" t="s">
        <v>30</v>
      </c>
      <c r="Q85" s="4" t="s">
        <v>30</v>
      </c>
      <c r="R85" s="4">
        <v>1.7669999999999999E-3</v>
      </c>
      <c r="S85" s="4">
        <v>1.7100000000000001E-2</v>
      </c>
      <c r="T85" s="4">
        <v>2.0099999999999998</v>
      </c>
    </row>
    <row r="86" spans="1:20" hidden="1" outlineLevel="1" collapsed="1" x14ac:dyDescent="0.2">
      <c r="A86" t="s">
        <v>34</v>
      </c>
      <c r="B86" s="4" t="s">
        <v>30</v>
      </c>
      <c r="C86" s="4" t="s">
        <v>228</v>
      </c>
      <c r="D86" s="4" t="s">
        <v>34</v>
      </c>
      <c r="E86" s="4">
        <v>5.2784499999999998E-2</v>
      </c>
      <c r="F86" s="4">
        <v>3.7876699999999999E-3</v>
      </c>
      <c r="G86" s="4">
        <v>10</v>
      </c>
      <c r="H86" s="4">
        <v>22</v>
      </c>
      <c r="I86" s="4">
        <v>1</v>
      </c>
      <c r="J86" s="4">
        <v>4</v>
      </c>
      <c r="K86" s="4" t="s">
        <v>229</v>
      </c>
      <c r="L86" s="4" t="s">
        <v>230</v>
      </c>
      <c r="M86" s="4" t="s">
        <v>34</v>
      </c>
      <c r="N86" s="4">
        <v>0</v>
      </c>
      <c r="O86" s="4">
        <v>827.42978000000005</v>
      </c>
      <c r="P86" s="4" t="s">
        <v>30</v>
      </c>
      <c r="Q86" s="4" t="s">
        <v>30</v>
      </c>
      <c r="R86" s="4">
        <v>1.7669999999999999E-3</v>
      </c>
      <c r="S86" s="4">
        <v>2.2929999999999999E-2</v>
      </c>
      <c r="T86" s="4">
        <v>1.3</v>
      </c>
    </row>
    <row r="87" spans="1:20" hidden="1" outlineLevel="1" collapsed="1" x14ac:dyDescent="0.2">
      <c r="A87" t="s">
        <v>34</v>
      </c>
      <c r="B87" s="4" t="s">
        <v>30</v>
      </c>
      <c r="C87" s="4" t="s">
        <v>62</v>
      </c>
      <c r="D87" s="4" t="s">
        <v>34</v>
      </c>
      <c r="E87" s="4">
        <v>5.22841E-2</v>
      </c>
      <c r="F87" s="4">
        <v>3.7876699999999999E-3</v>
      </c>
      <c r="G87" s="4">
        <v>3</v>
      </c>
      <c r="H87" s="4">
        <v>4</v>
      </c>
      <c r="I87" s="4">
        <v>1</v>
      </c>
      <c r="J87" s="4">
        <v>1</v>
      </c>
      <c r="K87" s="4" t="s">
        <v>63</v>
      </c>
      <c r="L87" s="4" t="s">
        <v>64</v>
      </c>
      <c r="M87" s="4" t="s">
        <v>34</v>
      </c>
      <c r="N87" s="4">
        <v>0</v>
      </c>
      <c r="O87" s="4">
        <v>1475.7852700000001</v>
      </c>
      <c r="P87" s="4" t="s">
        <v>30</v>
      </c>
      <c r="Q87" s="4" t="s">
        <v>30</v>
      </c>
      <c r="R87" s="4">
        <v>1.7669999999999999E-3</v>
      </c>
      <c r="S87" s="4">
        <v>2.2710000000000001E-2</v>
      </c>
      <c r="T87" s="4">
        <v>2.21</v>
      </c>
    </row>
    <row r="88" spans="1:20" hidden="1" outlineLevel="1" collapsed="1" x14ac:dyDescent="0.2">
      <c r="A88" t="s">
        <v>34</v>
      </c>
      <c r="B88" s="4" t="s">
        <v>30</v>
      </c>
      <c r="C88" s="4" t="s">
        <v>231</v>
      </c>
      <c r="D88" s="4" t="s">
        <v>34</v>
      </c>
      <c r="E88" s="4">
        <v>9.9862699999999998E-4</v>
      </c>
      <c r="F88" s="4">
        <v>3.7876699999999999E-3</v>
      </c>
      <c r="G88" s="4">
        <v>1</v>
      </c>
      <c r="H88" s="4">
        <v>1</v>
      </c>
      <c r="I88" s="4">
        <v>1</v>
      </c>
      <c r="J88" s="4">
        <v>4</v>
      </c>
      <c r="K88" s="4" t="s">
        <v>216</v>
      </c>
      <c r="L88" s="4" t="s">
        <v>232</v>
      </c>
      <c r="M88" s="4" t="s">
        <v>34</v>
      </c>
      <c r="N88" s="4">
        <v>0</v>
      </c>
      <c r="O88" s="4">
        <v>1254.6072999999999</v>
      </c>
      <c r="P88" s="4" t="s">
        <v>30</v>
      </c>
      <c r="Q88" s="4" t="s">
        <v>30</v>
      </c>
      <c r="R88" s="4">
        <v>1.7669999999999999E-3</v>
      </c>
      <c r="S88" s="4">
        <v>2.7149999999999999E-4</v>
      </c>
      <c r="T88" s="4">
        <v>2.63</v>
      </c>
    </row>
    <row r="89" spans="1:20" hidden="1" outlineLevel="1" collapsed="1" x14ac:dyDescent="0.2">
      <c r="A89" t="s">
        <v>34</v>
      </c>
      <c r="B89" s="4" t="s">
        <v>30</v>
      </c>
      <c r="C89" s="4" t="s">
        <v>233</v>
      </c>
      <c r="D89" s="4" t="s">
        <v>34</v>
      </c>
      <c r="E89" s="4">
        <v>0.20225899999999999</v>
      </c>
      <c r="F89" s="4">
        <v>9.5666499999999995E-3</v>
      </c>
      <c r="G89" s="4">
        <v>1</v>
      </c>
      <c r="H89" s="4">
        <v>1</v>
      </c>
      <c r="I89" s="4">
        <v>1</v>
      </c>
      <c r="J89" s="4">
        <v>1</v>
      </c>
      <c r="K89" s="4" t="s">
        <v>216</v>
      </c>
      <c r="L89" s="4" t="s">
        <v>234</v>
      </c>
      <c r="M89" s="4" t="s">
        <v>34</v>
      </c>
      <c r="N89" s="4">
        <v>1</v>
      </c>
      <c r="O89" s="4">
        <v>1410.7084199999999</v>
      </c>
      <c r="P89" s="4" t="s">
        <v>30</v>
      </c>
      <c r="Q89" s="4" t="s">
        <v>30</v>
      </c>
      <c r="R89" s="4">
        <v>4.1380000000000002E-3</v>
      </c>
      <c r="S89" s="4">
        <v>0.1077</v>
      </c>
      <c r="T89" s="4">
        <v>0.92</v>
      </c>
    </row>
    <row r="90" spans="1:20" hidden="1" outlineLevel="1" collapsed="1" x14ac:dyDescent="0.2">
      <c r="A90" t="s">
        <v>34</v>
      </c>
      <c r="B90" s="4" t="s">
        <v>30</v>
      </c>
      <c r="C90" s="4" t="s">
        <v>235</v>
      </c>
      <c r="D90" s="4" t="s">
        <v>34</v>
      </c>
      <c r="E90" s="4">
        <v>1.375E-5</v>
      </c>
      <c r="F90" s="4">
        <v>3.7876699999999999E-3</v>
      </c>
      <c r="G90" s="4">
        <v>1</v>
      </c>
      <c r="H90" s="4">
        <v>1</v>
      </c>
      <c r="I90" s="4">
        <v>1</v>
      </c>
      <c r="J90" s="4">
        <v>3</v>
      </c>
      <c r="K90" s="4" t="s">
        <v>216</v>
      </c>
      <c r="L90" s="4" t="s">
        <v>236</v>
      </c>
      <c r="M90" s="4" t="s">
        <v>34</v>
      </c>
      <c r="N90" s="4">
        <v>0</v>
      </c>
      <c r="O90" s="4">
        <v>1741.7484400000001</v>
      </c>
      <c r="P90" s="4" t="s">
        <v>30</v>
      </c>
      <c r="Q90" s="4" t="s">
        <v>30</v>
      </c>
      <c r="R90" s="4">
        <v>1.766784E-3</v>
      </c>
      <c r="S90" s="4">
        <v>2.2572780000000002E-6</v>
      </c>
      <c r="T90" s="4">
        <v>4.04</v>
      </c>
    </row>
    <row r="91" spans="1:20" hidden="1" outlineLevel="1" collapsed="1" x14ac:dyDescent="0.2">
      <c r="A91" t="s">
        <v>34</v>
      </c>
      <c r="B91" s="4" t="s">
        <v>30</v>
      </c>
      <c r="C91" s="4" t="s">
        <v>237</v>
      </c>
      <c r="D91" s="4" t="s">
        <v>34</v>
      </c>
      <c r="E91" s="4">
        <v>7.8567799999999993E-2</v>
      </c>
      <c r="F91" s="4">
        <v>3.7876699999999999E-3</v>
      </c>
      <c r="G91" s="4">
        <v>1</v>
      </c>
      <c r="H91" s="4">
        <v>1</v>
      </c>
      <c r="I91" s="4">
        <v>1</v>
      </c>
      <c r="J91" s="4">
        <v>2</v>
      </c>
      <c r="K91" s="4" t="s">
        <v>216</v>
      </c>
      <c r="L91" s="4" t="s">
        <v>238</v>
      </c>
      <c r="M91" s="4" t="s">
        <v>34</v>
      </c>
      <c r="N91" s="4">
        <v>0</v>
      </c>
      <c r="O91" s="4">
        <v>1197.54945</v>
      </c>
      <c r="P91" s="4" t="s">
        <v>30</v>
      </c>
      <c r="Q91" s="4" t="s">
        <v>30</v>
      </c>
      <c r="R91" s="4">
        <v>1.7669999999999999E-3</v>
      </c>
      <c r="S91" s="4">
        <v>3.6119999999999999E-2</v>
      </c>
      <c r="T91" s="4">
        <v>1.1299999999999999</v>
      </c>
    </row>
    <row r="92" spans="1:20" hidden="1" outlineLevel="1" collapsed="1" x14ac:dyDescent="0.2">
      <c r="A92" t="s">
        <v>34</v>
      </c>
      <c r="B92" s="4" t="s">
        <v>30</v>
      </c>
      <c r="C92" s="4" t="s">
        <v>239</v>
      </c>
      <c r="D92" s="4" t="s">
        <v>34</v>
      </c>
      <c r="E92" s="4">
        <v>7.4953400000000003E-2</v>
      </c>
      <c r="F92" s="4">
        <v>3.7876699999999999E-3</v>
      </c>
      <c r="G92" s="4">
        <v>1</v>
      </c>
      <c r="H92" s="4">
        <v>1</v>
      </c>
      <c r="I92" s="4">
        <v>1</v>
      </c>
      <c r="J92" s="4">
        <v>1</v>
      </c>
      <c r="K92" s="4" t="s">
        <v>216</v>
      </c>
      <c r="L92" s="4" t="s">
        <v>240</v>
      </c>
      <c r="M92" s="4" t="s">
        <v>34</v>
      </c>
      <c r="N92" s="4">
        <v>0</v>
      </c>
      <c r="O92" s="4">
        <v>1588.6833799999999</v>
      </c>
      <c r="P92" s="4" t="s">
        <v>30</v>
      </c>
      <c r="Q92" s="4" t="s">
        <v>30</v>
      </c>
      <c r="R92" s="4">
        <v>1.7669999999999999E-3</v>
      </c>
      <c r="S92" s="4">
        <v>3.4189999999999998E-2</v>
      </c>
      <c r="T92" s="4">
        <v>0.95</v>
      </c>
    </row>
    <row r="93" spans="1:20" hidden="1" outlineLevel="1" collapsed="1" x14ac:dyDescent="0.2">
      <c r="A93" t="s">
        <v>34</v>
      </c>
      <c r="B93" s="4" t="s">
        <v>30</v>
      </c>
      <c r="C93" s="4" t="s">
        <v>241</v>
      </c>
      <c r="D93" s="4" t="s">
        <v>34</v>
      </c>
      <c r="E93" s="4">
        <v>8.4217199999999997E-5</v>
      </c>
      <c r="F93" s="4">
        <v>3.7876699999999999E-3</v>
      </c>
      <c r="G93" s="4">
        <v>1</v>
      </c>
      <c r="H93" s="4">
        <v>1</v>
      </c>
      <c r="I93" s="4">
        <v>1</v>
      </c>
      <c r="J93" s="4">
        <v>2</v>
      </c>
      <c r="K93" s="4" t="s">
        <v>216</v>
      </c>
      <c r="L93" s="4" t="s">
        <v>242</v>
      </c>
      <c r="M93" s="4" t="s">
        <v>34</v>
      </c>
      <c r="N93" s="4">
        <v>0</v>
      </c>
      <c r="O93" s="4">
        <v>1740.7055700000001</v>
      </c>
      <c r="P93" s="4" t="s">
        <v>30</v>
      </c>
      <c r="Q93" s="4" t="s">
        <v>30</v>
      </c>
      <c r="R93" s="4">
        <v>1.7669999999999999E-3</v>
      </c>
      <c r="S93" s="4">
        <v>1.7090000000000001E-5</v>
      </c>
      <c r="T93" s="4">
        <v>4.0599999999999996</v>
      </c>
    </row>
    <row r="94" spans="1:20" hidden="1" outlineLevel="1" collapsed="1" x14ac:dyDescent="0.2">
      <c r="A94" t="s">
        <v>34</v>
      </c>
      <c r="B94" s="4" t="s">
        <v>30</v>
      </c>
      <c r="C94" s="4" t="s">
        <v>243</v>
      </c>
      <c r="D94" s="4" t="s">
        <v>34</v>
      </c>
      <c r="E94" s="4">
        <v>2.70992E-2</v>
      </c>
      <c r="F94" s="4">
        <v>3.7876699999999999E-3</v>
      </c>
      <c r="G94" s="4">
        <v>1</v>
      </c>
      <c r="H94" s="4">
        <v>1</v>
      </c>
      <c r="I94" s="4">
        <v>1</v>
      </c>
      <c r="J94" s="4">
        <v>1</v>
      </c>
      <c r="K94" s="4" t="s">
        <v>216</v>
      </c>
      <c r="L94" s="4" t="s">
        <v>244</v>
      </c>
      <c r="M94" s="4" t="s">
        <v>34</v>
      </c>
      <c r="N94" s="4">
        <v>0</v>
      </c>
      <c r="O94" s="4">
        <v>1320.5828200000001</v>
      </c>
      <c r="P94" s="4" t="s">
        <v>30</v>
      </c>
      <c r="Q94" s="4" t="s">
        <v>30</v>
      </c>
      <c r="R94" s="4">
        <v>1.7669999999999999E-3</v>
      </c>
      <c r="S94" s="4">
        <v>1.0840000000000001E-2</v>
      </c>
      <c r="T94" s="4">
        <v>1.59</v>
      </c>
    </row>
    <row r="95" spans="1:20" hidden="1" outlineLevel="1" collapsed="1" x14ac:dyDescent="0.2">
      <c r="A95" t="s">
        <v>34</v>
      </c>
      <c r="B95" s="4" t="s">
        <v>30</v>
      </c>
      <c r="C95" s="4" t="s">
        <v>83</v>
      </c>
      <c r="D95" s="4" t="s">
        <v>34</v>
      </c>
      <c r="E95" s="4">
        <v>2.4486600000000001E-2</v>
      </c>
      <c r="F95" s="4">
        <v>3.7876699999999999E-3</v>
      </c>
      <c r="G95" s="4">
        <v>2</v>
      </c>
      <c r="H95" s="4">
        <v>3</v>
      </c>
      <c r="I95" s="4">
        <v>1</v>
      </c>
      <c r="J95" s="4">
        <v>8</v>
      </c>
      <c r="K95" s="4" t="s">
        <v>84</v>
      </c>
      <c r="L95" s="4" t="s">
        <v>85</v>
      </c>
      <c r="M95" s="4" t="s">
        <v>34</v>
      </c>
      <c r="N95" s="4">
        <v>0</v>
      </c>
      <c r="O95" s="4">
        <v>973.53129000000001</v>
      </c>
      <c r="P95" s="4" t="s">
        <v>30</v>
      </c>
      <c r="Q95" s="4" t="s">
        <v>30</v>
      </c>
      <c r="R95" s="4">
        <v>1.7669999999999999E-3</v>
      </c>
      <c r="S95" s="4">
        <v>9.6600000000000002E-3</v>
      </c>
      <c r="T95" s="4">
        <v>1.42</v>
      </c>
    </row>
    <row r="96" spans="1:20" hidden="1" outlineLevel="1" collapsed="1" x14ac:dyDescent="0.2">
      <c r="A96" t="s">
        <v>34</v>
      </c>
      <c r="B96" s="4" t="s">
        <v>30</v>
      </c>
      <c r="C96" s="4" t="s">
        <v>245</v>
      </c>
      <c r="D96" s="4" t="s">
        <v>148</v>
      </c>
      <c r="E96" s="4">
        <v>0.104048</v>
      </c>
      <c r="F96" s="4">
        <v>3.7876699999999999E-3</v>
      </c>
      <c r="G96" s="4">
        <v>6</v>
      </c>
      <c r="H96" s="4">
        <v>13</v>
      </c>
      <c r="I96" s="4">
        <v>1</v>
      </c>
      <c r="J96" s="4">
        <v>1</v>
      </c>
      <c r="K96" s="4" t="s">
        <v>246</v>
      </c>
      <c r="L96" s="4" t="s">
        <v>247</v>
      </c>
      <c r="M96" s="4" t="s">
        <v>34</v>
      </c>
      <c r="N96" s="4">
        <v>0</v>
      </c>
      <c r="O96" s="4">
        <v>1005.4669699999999</v>
      </c>
      <c r="P96" s="4" t="s">
        <v>30</v>
      </c>
      <c r="Q96" s="4" t="s">
        <v>30</v>
      </c>
      <c r="R96" s="4">
        <v>1.7669999999999999E-3</v>
      </c>
      <c r="S96" s="4">
        <v>4.972E-2</v>
      </c>
      <c r="T96" s="4">
        <v>1.21</v>
      </c>
    </row>
    <row r="97" spans="1:30" hidden="1" outlineLevel="1" collapsed="1" x14ac:dyDescent="0.2">
      <c r="A97" t="s">
        <v>34</v>
      </c>
      <c r="B97" s="4" t="s">
        <v>30</v>
      </c>
      <c r="C97" s="4" t="s">
        <v>248</v>
      </c>
      <c r="D97" s="4" t="s">
        <v>34</v>
      </c>
      <c r="E97" s="4">
        <v>1.39543E-3</v>
      </c>
      <c r="F97" s="4">
        <v>3.7876699999999999E-3</v>
      </c>
      <c r="G97" s="4">
        <v>1</v>
      </c>
      <c r="H97" s="4">
        <v>1</v>
      </c>
      <c r="I97" s="4">
        <v>1</v>
      </c>
      <c r="J97" s="4">
        <v>2</v>
      </c>
      <c r="K97" s="4" t="s">
        <v>216</v>
      </c>
      <c r="L97" s="4" t="s">
        <v>249</v>
      </c>
      <c r="M97" s="4" t="s">
        <v>34</v>
      </c>
      <c r="N97" s="4">
        <v>0</v>
      </c>
      <c r="O97" s="4">
        <v>1371.7114300000001</v>
      </c>
      <c r="P97" s="4" t="s">
        <v>30</v>
      </c>
      <c r="Q97" s="4" t="s">
        <v>30</v>
      </c>
      <c r="R97" s="4">
        <v>1.7669999999999999E-3</v>
      </c>
      <c r="S97" s="4">
        <v>3.9350000000000002E-4</v>
      </c>
      <c r="T97" s="4">
        <v>3</v>
      </c>
    </row>
    <row r="98" spans="1:30" hidden="1" outlineLevel="1" collapsed="1" x14ac:dyDescent="0.2">
      <c r="A98" t="s">
        <v>34</v>
      </c>
      <c r="B98" s="4" t="s">
        <v>30</v>
      </c>
      <c r="C98" s="4" t="s">
        <v>250</v>
      </c>
      <c r="D98" s="4" t="s">
        <v>34</v>
      </c>
      <c r="E98" s="4">
        <v>3.7771199999999998E-2</v>
      </c>
      <c r="F98" s="4">
        <v>3.7876699999999999E-3</v>
      </c>
      <c r="G98" s="4">
        <v>4</v>
      </c>
      <c r="H98" s="4">
        <v>9</v>
      </c>
      <c r="I98" s="4">
        <v>1</v>
      </c>
      <c r="J98" s="4">
        <v>1</v>
      </c>
      <c r="K98" s="4" t="s">
        <v>251</v>
      </c>
      <c r="L98" s="4" t="s">
        <v>252</v>
      </c>
      <c r="M98" s="4" t="s">
        <v>34</v>
      </c>
      <c r="N98" s="4">
        <v>0</v>
      </c>
      <c r="O98" s="4">
        <v>1329.7260200000001</v>
      </c>
      <c r="P98" s="4" t="s">
        <v>30</v>
      </c>
      <c r="Q98" s="4" t="s">
        <v>30</v>
      </c>
      <c r="R98" s="4">
        <v>1.7669999999999999E-3</v>
      </c>
      <c r="S98" s="4">
        <v>1.5740000000000001E-2</v>
      </c>
      <c r="T98" s="4">
        <v>2.2799999999999998</v>
      </c>
    </row>
    <row r="99" spans="1:30" hidden="1" outlineLevel="1" collapsed="1" x14ac:dyDescent="0.2">
      <c r="A99" t="s">
        <v>34</v>
      </c>
      <c r="B99" s="4" t="s">
        <v>30</v>
      </c>
      <c r="C99" s="4" t="s">
        <v>253</v>
      </c>
      <c r="D99" s="4" t="s">
        <v>34</v>
      </c>
      <c r="E99" s="4">
        <v>1.0231299999999999E-3</v>
      </c>
      <c r="F99" s="4">
        <v>3.7876699999999999E-3</v>
      </c>
      <c r="G99" s="4">
        <v>1</v>
      </c>
      <c r="H99" s="4">
        <v>1</v>
      </c>
      <c r="I99" s="4">
        <v>1</v>
      </c>
      <c r="J99" s="4">
        <v>6</v>
      </c>
      <c r="K99" s="4" t="s">
        <v>216</v>
      </c>
      <c r="L99" s="4" t="s">
        <v>254</v>
      </c>
      <c r="M99" s="4" t="s">
        <v>34</v>
      </c>
      <c r="N99" s="4">
        <v>0</v>
      </c>
      <c r="O99" s="4">
        <v>1329.63933</v>
      </c>
      <c r="P99" s="4" t="s">
        <v>30</v>
      </c>
      <c r="Q99" s="4" t="s">
        <v>30</v>
      </c>
      <c r="R99" s="4">
        <v>1.7669999999999999E-3</v>
      </c>
      <c r="S99" s="4">
        <v>2.787E-4</v>
      </c>
      <c r="T99" s="4">
        <v>2.59</v>
      </c>
    </row>
    <row r="100" spans="1:30" hidden="1" outlineLevel="1" collapsed="1" x14ac:dyDescent="0.2">
      <c r="A100" t="s">
        <v>34</v>
      </c>
      <c r="B100" s="4" t="s">
        <v>30</v>
      </c>
      <c r="C100" s="4" t="s">
        <v>255</v>
      </c>
      <c r="D100" s="4" t="s">
        <v>148</v>
      </c>
      <c r="E100" s="4">
        <v>8.1579899999999997E-2</v>
      </c>
      <c r="F100" s="4">
        <v>3.7876699999999999E-3</v>
      </c>
      <c r="G100" s="4">
        <v>1</v>
      </c>
      <c r="H100" s="4">
        <v>1</v>
      </c>
      <c r="I100" s="4">
        <v>1</v>
      </c>
      <c r="J100" s="4">
        <v>2</v>
      </c>
      <c r="K100" s="4" t="s">
        <v>216</v>
      </c>
      <c r="L100" s="4" t="s">
        <v>256</v>
      </c>
      <c r="M100" s="4" t="s">
        <v>34</v>
      </c>
      <c r="N100" s="4">
        <v>0</v>
      </c>
      <c r="O100" s="4">
        <v>1131.5099</v>
      </c>
      <c r="P100" s="4" t="s">
        <v>30</v>
      </c>
      <c r="Q100" s="4" t="s">
        <v>30</v>
      </c>
      <c r="R100" s="4">
        <v>1.7669999999999999E-3</v>
      </c>
      <c r="S100" s="4">
        <v>3.7650000000000003E-2</v>
      </c>
      <c r="T100" s="4">
        <v>1.62</v>
      </c>
    </row>
    <row r="101" spans="1:30" hidden="1" outlineLevel="1" collapsed="1" x14ac:dyDescent="0.2">
      <c r="A101" t="s">
        <v>34</v>
      </c>
      <c r="B101" s="4" t="s">
        <v>30</v>
      </c>
      <c r="C101" s="4" t="s">
        <v>257</v>
      </c>
      <c r="D101" s="4" t="s">
        <v>34</v>
      </c>
      <c r="E101" s="4">
        <v>7.7659299999999999E-3</v>
      </c>
      <c r="F101" s="4">
        <v>3.7876699999999999E-3</v>
      </c>
      <c r="G101" s="4">
        <v>1</v>
      </c>
      <c r="H101" s="4">
        <v>1</v>
      </c>
      <c r="I101" s="4">
        <v>1</v>
      </c>
      <c r="J101" s="4">
        <v>2</v>
      </c>
      <c r="K101" s="4" t="s">
        <v>216</v>
      </c>
      <c r="L101" s="4" t="s">
        <v>258</v>
      </c>
      <c r="M101" s="4" t="s">
        <v>34</v>
      </c>
      <c r="N101" s="4">
        <v>0</v>
      </c>
      <c r="O101" s="4">
        <v>1208.61574</v>
      </c>
      <c r="P101" s="4" t="s">
        <v>30</v>
      </c>
      <c r="Q101" s="4" t="s">
        <v>30</v>
      </c>
      <c r="R101" s="4">
        <v>1.7669999999999999E-3</v>
      </c>
      <c r="S101" s="4">
        <v>2.6770000000000001E-3</v>
      </c>
      <c r="T101" s="4">
        <v>3.17</v>
      </c>
    </row>
    <row r="102" spans="1:30" hidden="1" outlineLevel="1" collapsed="1" x14ac:dyDescent="0.2">
      <c r="A102" t="s">
        <v>34</v>
      </c>
      <c r="B102" s="4" t="s">
        <v>30</v>
      </c>
      <c r="C102" s="4" t="s">
        <v>259</v>
      </c>
      <c r="D102" s="4" t="s">
        <v>34</v>
      </c>
      <c r="E102" s="4">
        <v>5.2689299999999998E-3</v>
      </c>
      <c r="F102" s="4">
        <v>3.7876699999999999E-3</v>
      </c>
      <c r="G102" s="4">
        <v>1</v>
      </c>
      <c r="H102" s="4">
        <v>1</v>
      </c>
      <c r="I102" s="4">
        <v>1</v>
      </c>
      <c r="J102" s="4">
        <v>9</v>
      </c>
      <c r="K102" s="4" t="s">
        <v>216</v>
      </c>
      <c r="L102" s="4" t="s">
        <v>260</v>
      </c>
      <c r="M102" s="4" t="s">
        <v>34</v>
      </c>
      <c r="N102" s="4">
        <v>1</v>
      </c>
      <c r="O102" s="4">
        <v>1336.7107100000001</v>
      </c>
      <c r="P102" s="4" t="s">
        <v>30</v>
      </c>
      <c r="Q102" s="4" t="s">
        <v>30</v>
      </c>
      <c r="R102" s="4">
        <v>1.7669999999999999E-3</v>
      </c>
      <c r="S102" s="4">
        <v>1.738E-3</v>
      </c>
      <c r="T102" s="4">
        <v>3.43</v>
      </c>
    </row>
    <row r="103" spans="1:30" hidden="1" outlineLevel="1" collapsed="1" x14ac:dyDescent="0.2">
      <c r="A103" t="s">
        <v>34</v>
      </c>
      <c r="B103" s="4" t="s">
        <v>30</v>
      </c>
      <c r="C103" s="4" t="s">
        <v>261</v>
      </c>
      <c r="D103" s="4" t="s">
        <v>262</v>
      </c>
      <c r="E103" s="4">
        <v>9.5663599999999994E-3</v>
      </c>
      <c r="F103" s="4">
        <v>3.7876699999999999E-3</v>
      </c>
      <c r="G103" s="4">
        <v>1</v>
      </c>
      <c r="H103" s="4">
        <v>1</v>
      </c>
      <c r="I103" s="4">
        <v>1</v>
      </c>
      <c r="J103" s="4">
        <v>1</v>
      </c>
      <c r="K103" s="4" t="s">
        <v>216</v>
      </c>
      <c r="L103" s="4" t="s">
        <v>263</v>
      </c>
      <c r="M103" s="4" t="s">
        <v>34</v>
      </c>
      <c r="N103" s="4">
        <v>0</v>
      </c>
      <c r="O103" s="4">
        <v>2143.9448200000002</v>
      </c>
      <c r="P103" s="4" t="s">
        <v>30</v>
      </c>
      <c r="Q103" s="4" t="s">
        <v>30</v>
      </c>
      <c r="R103" s="4">
        <v>1.7669999999999999E-3</v>
      </c>
      <c r="S103" s="4">
        <v>3.3890000000000001E-3</v>
      </c>
      <c r="T103" s="4">
        <v>3.36</v>
      </c>
    </row>
    <row r="104" spans="1:30" hidden="1" outlineLevel="1" collapsed="1" x14ac:dyDescent="0.2">
      <c r="A104" t="s">
        <v>34</v>
      </c>
      <c r="B104" s="4" t="s">
        <v>30</v>
      </c>
      <c r="C104" s="4" t="s">
        <v>264</v>
      </c>
      <c r="D104" s="4" t="s">
        <v>262</v>
      </c>
      <c r="E104" s="4">
        <v>1.20068E-3</v>
      </c>
      <c r="F104" s="4">
        <v>3.7876699999999999E-3</v>
      </c>
      <c r="G104" s="4">
        <v>1</v>
      </c>
      <c r="H104" s="4">
        <v>1</v>
      </c>
      <c r="I104" s="4">
        <v>1</v>
      </c>
      <c r="J104" s="4">
        <v>2</v>
      </c>
      <c r="K104" s="4" t="s">
        <v>216</v>
      </c>
      <c r="L104" s="4" t="s">
        <v>265</v>
      </c>
      <c r="M104" s="4" t="s">
        <v>34</v>
      </c>
      <c r="N104" s="4">
        <v>1</v>
      </c>
      <c r="O104" s="4">
        <v>2272.0397800000001</v>
      </c>
      <c r="P104" s="4" t="s">
        <v>30</v>
      </c>
      <c r="Q104" s="4" t="s">
        <v>30</v>
      </c>
      <c r="R104" s="4">
        <v>1.7669999999999999E-3</v>
      </c>
      <c r="S104" s="4">
        <v>3.3310000000000002E-4</v>
      </c>
      <c r="T104" s="4">
        <v>3.29</v>
      </c>
    </row>
    <row r="105" spans="1:30" hidden="1" outlineLevel="1" collapsed="1" x14ac:dyDescent="0.2">
      <c r="A105" t="s">
        <v>34</v>
      </c>
      <c r="B105" s="4" t="s">
        <v>30</v>
      </c>
      <c r="C105" s="4" t="s">
        <v>266</v>
      </c>
      <c r="D105" s="4" t="s">
        <v>34</v>
      </c>
      <c r="E105" s="4">
        <v>4.44523E-2</v>
      </c>
      <c r="F105" s="4">
        <v>3.7876699999999999E-3</v>
      </c>
      <c r="G105" s="4">
        <v>1</v>
      </c>
      <c r="H105" s="4">
        <v>1</v>
      </c>
      <c r="I105" s="4">
        <v>1</v>
      </c>
      <c r="J105" s="4">
        <v>2</v>
      </c>
      <c r="K105" s="4" t="s">
        <v>216</v>
      </c>
      <c r="L105" s="4" t="s">
        <v>267</v>
      </c>
      <c r="M105" s="4" t="s">
        <v>34</v>
      </c>
      <c r="N105" s="4">
        <v>0</v>
      </c>
      <c r="O105" s="4">
        <v>1041.5574999999999</v>
      </c>
      <c r="P105" s="4" t="s">
        <v>30</v>
      </c>
      <c r="Q105" s="4" t="s">
        <v>30</v>
      </c>
      <c r="R105" s="4">
        <v>1.7669999999999999E-3</v>
      </c>
      <c r="S105" s="4">
        <v>1.8880000000000001E-2</v>
      </c>
      <c r="T105" s="4">
        <v>2.16</v>
      </c>
    </row>
    <row r="106" spans="1:30" hidden="1" outlineLevel="1" collapsed="1" x14ac:dyDescent="0.2">
      <c r="A106" t="s">
        <v>34</v>
      </c>
      <c r="B106" s="4" t="s">
        <v>30</v>
      </c>
      <c r="C106" s="4" t="s">
        <v>268</v>
      </c>
      <c r="D106" s="4" t="s">
        <v>34</v>
      </c>
      <c r="E106" s="4">
        <v>2.5085099999999999E-2</v>
      </c>
      <c r="F106" s="4">
        <v>3.7876699999999999E-3</v>
      </c>
      <c r="G106" s="4">
        <v>1</v>
      </c>
      <c r="H106" s="4">
        <v>1</v>
      </c>
      <c r="I106" s="4">
        <v>1</v>
      </c>
      <c r="J106" s="4">
        <v>2</v>
      </c>
      <c r="K106" s="4" t="s">
        <v>216</v>
      </c>
      <c r="L106" s="4" t="s">
        <v>269</v>
      </c>
      <c r="M106" s="4" t="s">
        <v>34</v>
      </c>
      <c r="N106" s="4">
        <v>0</v>
      </c>
      <c r="O106" s="4">
        <v>1193.61608</v>
      </c>
      <c r="P106" s="4" t="s">
        <v>30</v>
      </c>
      <c r="Q106" s="4" t="s">
        <v>30</v>
      </c>
      <c r="R106" s="4">
        <v>1.7669999999999999E-3</v>
      </c>
      <c r="S106" s="4">
        <v>9.9389999999999999E-3</v>
      </c>
      <c r="T106" s="4">
        <v>2.2799999999999998</v>
      </c>
    </row>
    <row r="107" spans="1:30" hidden="1" outlineLevel="1" collapsed="1" x14ac:dyDescent="0.2">
      <c r="A107" t="s">
        <v>34</v>
      </c>
      <c r="B107" s="4" t="s">
        <v>30</v>
      </c>
      <c r="C107" s="4" t="s">
        <v>270</v>
      </c>
      <c r="D107" s="4" t="s">
        <v>34</v>
      </c>
      <c r="E107" s="4">
        <v>9.3024599999999999E-2</v>
      </c>
      <c r="F107" s="4">
        <v>3.7876699999999999E-3</v>
      </c>
      <c r="G107" s="4">
        <v>1</v>
      </c>
      <c r="H107" s="4">
        <v>1</v>
      </c>
      <c r="I107" s="4">
        <v>1</v>
      </c>
      <c r="J107" s="4">
        <v>1</v>
      </c>
      <c r="K107" s="4" t="s">
        <v>216</v>
      </c>
      <c r="L107" s="4" t="s">
        <v>271</v>
      </c>
      <c r="M107" s="4" t="s">
        <v>34</v>
      </c>
      <c r="N107" s="4">
        <v>0</v>
      </c>
      <c r="O107" s="4">
        <v>1037.5262</v>
      </c>
      <c r="P107" s="4" t="s">
        <v>30</v>
      </c>
      <c r="Q107" s="4" t="s">
        <v>30</v>
      </c>
      <c r="R107" s="4">
        <v>1.7669999999999999E-3</v>
      </c>
      <c r="S107" s="4">
        <v>4.385E-2</v>
      </c>
      <c r="T107" s="4">
        <v>2.27</v>
      </c>
    </row>
    <row r="108" spans="1:30" collapsed="1" x14ac:dyDescent="0.2">
      <c r="A108" s="3" t="s">
        <v>30</v>
      </c>
      <c r="B108" s="3" t="s">
        <v>31</v>
      </c>
      <c r="C108" s="3" t="s">
        <v>216</v>
      </c>
      <c r="D108" s="3" t="s">
        <v>272</v>
      </c>
      <c r="E108" s="3">
        <v>0</v>
      </c>
      <c r="F108" s="3">
        <v>63.027000000000001</v>
      </c>
      <c r="G108" s="3">
        <v>42</v>
      </c>
      <c r="H108" s="3">
        <v>26</v>
      </c>
      <c r="I108" s="3">
        <v>27</v>
      </c>
      <c r="J108" s="3">
        <v>93</v>
      </c>
      <c r="K108" s="3">
        <v>19</v>
      </c>
      <c r="L108" s="3">
        <v>593</v>
      </c>
      <c r="M108" s="3">
        <v>59.5</v>
      </c>
      <c r="N108" s="3">
        <v>5.21</v>
      </c>
      <c r="O108" s="3">
        <v>98.77</v>
      </c>
      <c r="P108" s="3">
        <v>26</v>
      </c>
      <c r="Q108" s="3" t="s">
        <v>34</v>
      </c>
      <c r="R108" s="3" t="s">
        <v>34</v>
      </c>
      <c r="S108" s="3" t="s">
        <v>34</v>
      </c>
      <c r="T108" s="3" t="s">
        <v>34</v>
      </c>
      <c r="U108" s="3" t="s">
        <v>34</v>
      </c>
      <c r="V108" s="3" t="s">
        <v>216</v>
      </c>
      <c r="W108" s="3" t="s">
        <v>34</v>
      </c>
      <c r="X108" s="3" t="s">
        <v>34</v>
      </c>
      <c r="Y108" s="3" t="s">
        <v>34</v>
      </c>
      <c r="Z108" s="3" t="s">
        <v>34</v>
      </c>
      <c r="AA108" s="3">
        <v>0</v>
      </c>
      <c r="AB108" s="3" t="s">
        <v>30</v>
      </c>
      <c r="AC108" s="3">
        <v>1</v>
      </c>
      <c r="AD108" s="3" t="s">
        <v>34</v>
      </c>
    </row>
    <row r="109" spans="1:30" hidden="1" outlineLevel="1" collapsed="1" x14ac:dyDescent="0.2">
      <c r="A109" t="s">
        <v>34</v>
      </c>
      <c r="B109" s="2" t="s">
        <v>36</v>
      </c>
      <c r="C109" s="2" t="s">
        <v>37</v>
      </c>
      <c r="D109" s="2" t="s">
        <v>29</v>
      </c>
      <c r="E109" s="2" t="s">
        <v>38</v>
      </c>
      <c r="F109" s="2" t="s">
        <v>39</v>
      </c>
      <c r="G109" s="2" t="s">
        <v>28</v>
      </c>
      <c r="H109" s="2" t="s">
        <v>40</v>
      </c>
      <c r="I109" s="2" t="s">
        <v>8</v>
      </c>
      <c r="J109" s="2" t="s">
        <v>9</v>
      </c>
      <c r="K109" s="2" t="s">
        <v>41</v>
      </c>
      <c r="L109" s="2" t="s">
        <v>42</v>
      </c>
      <c r="M109" s="2" t="s">
        <v>43</v>
      </c>
      <c r="N109" s="2" t="s">
        <v>44</v>
      </c>
      <c r="O109" s="2" t="s">
        <v>45</v>
      </c>
      <c r="P109" s="2" t="s">
        <v>27</v>
      </c>
      <c r="Q109" s="2" t="s">
        <v>46</v>
      </c>
      <c r="R109" s="2" t="s">
        <v>47</v>
      </c>
      <c r="S109" s="2" t="s">
        <v>48</v>
      </c>
      <c r="T109" s="2" t="s">
        <v>49</v>
      </c>
    </row>
    <row r="110" spans="1:30" hidden="1" outlineLevel="1" collapsed="1" x14ac:dyDescent="0.2">
      <c r="A110" t="s">
        <v>34</v>
      </c>
      <c r="B110" s="4" t="s">
        <v>30</v>
      </c>
      <c r="C110" s="4" t="s">
        <v>273</v>
      </c>
      <c r="D110" s="4" t="s">
        <v>274</v>
      </c>
      <c r="E110" s="4">
        <v>2.0574700000000001E-2</v>
      </c>
      <c r="F110" s="4">
        <v>3.7876699999999999E-3</v>
      </c>
      <c r="G110" s="4">
        <v>1</v>
      </c>
      <c r="H110" s="4">
        <v>2</v>
      </c>
      <c r="I110" s="4">
        <v>1</v>
      </c>
      <c r="J110" s="4">
        <v>2</v>
      </c>
      <c r="K110" s="4" t="s">
        <v>216</v>
      </c>
      <c r="L110" s="4" t="s">
        <v>275</v>
      </c>
      <c r="M110" s="4" t="s">
        <v>34</v>
      </c>
      <c r="N110" s="4">
        <v>0</v>
      </c>
      <c r="O110" s="4">
        <v>2082.9648299999999</v>
      </c>
      <c r="P110" s="4" t="s">
        <v>30</v>
      </c>
      <c r="Q110" s="4" t="s">
        <v>30</v>
      </c>
      <c r="R110" s="4">
        <v>1.7669999999999999E-3</v>
      </c>
      <c r="S110" s="4">
        <v>7.9729999999999992E-3</v>
      </c>
      <c r="T110" s="4">
        <v>2.7</v>
      </c>
    </row>
    <row r="111" spans="1:30" hidden="1" outlineLevel="1" collapsed="1" x14ac:dyDescent="0.2">
      <c r="A111" t="s">
        <v>34</v>
      </c>
      <c r="B111" s="4" t="s">
        <v>30</v>
      </c>
      <c r="C111" s="4" t="s">
        <v>276</v>
      </c>
      <c r="D111" s="4" t="s">
        <v>34</v>
      </c>
      <c r="E111" s="4">
        <v>1.0791900000000001E-3</v>
      </c>
      <c r="F111" s="4">
        <v>3.7876699999999999E-3</v>
      </c>
      <c r="G111" s="4">
        <v>1</v>
      </c>
      <c r="H111" s="4">
        <v>3</v>
      </c>
      <c r="I111" s="4">
        <v>1</v>
      </c>
      <c r="J111" s="4">
        <v>6</v>
      </c>
      <c r="K111" s="4" t="s">
        <v>216</v>
      </c>
      <c r="L111" s="4" t="s">
        <v>277</v>
      </c>
      <c r="M111" s="4" t="s">
        <v>34</v>
      </c>
      <c r="N111" s="4">
        <v>0</v>
      </c>
      <c r="O111" s="4">
        <v>1381.6481699999999</v>
      </c>
      <c r="P111" s="4" t="s">
        <v>30</v>
      </c>
      <c r="Q111" s="4" t="s">
        <v>30</v>
      </c>
      <c r="R111" s="4">
        <v>1.7669999999999999E-3</v>
      </c>
      <c r="S111" s="4">
        <v>2.9520000000000002E-4</v>
      </c>
      <c r="T111" s="4">
        <v>3.48</v>
      </c>
    </row>
    <row r="112" spans="1:30" hidden="1" outlineLevel="1" collapsed="1" x14ac:dyDescent="0.2">
      <c r="A112" t="s">
        <v>34</v>
      </c>
      <c r="B112" s="4" t="s">
        <v>30</v>
      </c>
      <c r="C112" s="4" t="s">
        <v>278</v>
      </c>
      <c r="D112" s="4" t="s">
        <v>34</v>
      </c>
      <c r="E112" s="4">
        <v>6.00136E-2</v>
      </c>
      <c r="F112" s="4">
        <v>3.7876699999999999E-3</v>
      </c>
      <c r="G112" s="4">
        <v>2</v>
      </c>
      <c r="H112" s="4">
        <v>5</v>
      </c>
      <c r="I112" s="4">
        <v>1</v>
      </c>
      <c r="J112" s="4">
        <v>2</v>
      </c>
      <c r="K112" s="4" t="s">
        <v>279</v>
      </c>
      <c r="L112" s="4" t="s">
        <v>280</v>
      </c>
      <c r="M112" s="4" t="s">
        <v>34</v>
      </c>
      <c r="N112" s="4">
        <v>0</v>
      </c>
      <c r="O112" s="4">
        <v>1109.48981</v>
      </c>
      <c r="P112" s="4" t="s">
        <v>30</v>
      </c>
      <c r="Q112" s="4" t="s">
        <v>30</v>
      </c>
      <c r="R112" s="4">
        <v>1.7669999999999999E-3</v>
      </c>
      <c r="S112" s="4">
        <v>2.6579999999999999E-2</v>
      </c>
      <c r="T112" s="4">
        <v>1.77</v>
      </c>
    </row>
    <row r="113" spans="1:20" hidden="1" outlineLevel="1" collapsed="1" x14ac:dyDescent="0.2">
      <c r="A113" t="s">
        <v>34</v>
      </c>
      <c r="B113" s="4" t="s">
        <v>30</v>
      </c>
      <c r="C113" s="4" t="s">
        <v>281</v>
      </c>
      <c r="D113" s="4" t="s">
        <v>34</v>
      </c>
      <c r="E113" s="4">
        <v>2.79159E-3</v>
      </c>
      <c r="F113" s="4">
        <v>3.7876699999999999E-3</v>
      </c>
      <c r="G113" s="4">
        <v>1</v>
      </c>
      <c r="H113" s="4">
        <v>3</v>
      </c>
      <c r="I113" s="4">
        <v>1</v>
      </c>
      <c r="J113" s="4">
        <v>1</v>
      </c>
      <c r="K113" s="4" t="s">
        <v>216</v>
      </c>
      <c r="L113" s="4" t="s">
        <v>282</v>
      </c>
      <c r="M113" s="4" t="s">
        <v>34</v>
      </c>
      <c r="N113" s="4">
        <v>0</v>
      </c>
      <c r="O113" s="4">
        <v>1996.9709600000001</v>
      </c>
      <c r="P113" s="4" t="s">
        <v>30</v>
      </c>
      <c r="Q113" s="4" t="s">
        <v>30</v>
      </c>
      <c r="R113" s="4">
        <v>1.7669999999999999E-3</v>
      </c>
      <c r="S113" s="4">
        <v>8.5269999999999996E-4</v>
      </c>
      <c r="T113" s="4">
        <v>3.22</v>
      </c>
    </row>
    <row r="114" spans="1:20" hidden="1" outlineLevel="1" collapsed="1" x14ac:dyDescent="0.2">
      <c r="A114" t="s">
        <v>34</v>
      </c>
      <c r="B114" s="4" t="s">
        <v>30</v>
      </c>
      <c r="C114" s="4" t="s">
        <v>283</v>
      </c>
      <c r="D114" s="4" t="s">
        <v>34</v>
      </c>
      <c r="E114" s="4">
        <v>2.23347E-3</v>
      </c>
      <c r="F114" s="4">
        <v>3.7876699999999999E-3</v>
      </c>
      <c r="G114" s="4">
        <v>1</v>
      </c>
      <c r="H114" s="4">
        <v>3</v>
      </c>
      <c r="I114" s="4">
        <v>1</v>
      </c>
      <c r="J114" s="4">
        <v>2</v>
      </c>
      <c r="K114" s="4" t="s">
        <v>216</v>
      </c>
      <c r="L114" s="4" t="s">
        <v>284</v>
      </c>
      <c r="M114" s="4" t="s">
        <v>34</v>
      </c>
      <c r="N114" s="4">
        <v>0</v>
      </c>
      <c r="O114" s="4">
        <v>1707.77214</v>
      </c>
      <c r="P114" s="4" t="s">
        <v>30</v>
      </c>
      <c r="Q114" s="4" t="s">
        <v>30</v>
      </c>
      <c r="R114" s="4">
        <v>1.7669999999999999E-3</v>
      </c>
      <c r="S114" s="4">
        <v>6.667E-4</v>
      </c>
      <c r="T114" s="4">
        <v>1.63</v>
      </c>
    </row>
    <row r="115" spans="1:20" hidden="1" outlineLevel="1" collapsed="1" x14ac:dyDescent="0.2">
      <c r="A115" t="s">
        <v>34</v>
      </c>
      <c r="B115" s="4" t="s">
        <v>30</v>
      </c>
      <c r="C115" s="4" t="s">
        <v>285</v>
      </c>
      <c r="D115" s="4" t="s">
        <v>34</v>
      </c>
      <c r="E115" s="4">
        <v>0.10649599999999999</v>
      </c>
      <c r="F115" s="4">
        <v>3.7876699999999999E-3</v>
      </c>
      <c r="G115" s="4">
        <v>1</v>
      </c>
      <c r="H115" s="4">
        <v>2</v>
      </c>
      <c r="I115" s="4">
        <v>1</v>
      </c>
      <c r="J115" s="4">
        <v>1</v>
      </c>
      <c r="K115" s="4" t="s">
        <v>216</v>
      </c>
      <c r="L115" s="4" t="s">
        <v>286</v>
      </c>
      <c r="M115" s="4" t="s">
        <v>34</v>
      </c>
      <c r="N115" s="4">
        <v>0</v>
      </c>
      <c r="O115" s="4">
        <v>1118.5085899999999</v>
      </c>
      <c r="P115" s="4" t="s">
        <v>30</v>
      </c>
      <c r="Q115" s="4" t="s">
        <v>30</v>
      </c>
      <c r="R115" s="4">
        <v>1.7669999999999999E-3</v>
      </c>
      <c r="S115" s="4">
        <v>5.1150000000000001E-2</v>
      </c>
      <c r="T115" s="4">
        <v>1.62</v>
      </c>
    </row>
    <row r="116" spans="1:20" hidden="1" outlineLevel="1" collapsed="1" x14ac:dyDescent="0.2">
      <c r="A116" t="s">
        <v>34</v>
      </c>
      <c r="B116" s="4" t="s">
        <v>30</v>
      </c>
      <c r="C116" s="4" t="s">
        <v>287</v>
      </c>
      <c r="D116" s="4" t="s">
        <v>34</v>
      </c>
      <c r="E116" s="4">
        <v>3.83188E-2</v>
      </c>
      <c r="F116" s="4">
        <v>3.7876699999999999E-3</v>
      </c>
      <c r="G116" s="4">
        <v>7</v>
      </c>
      <c r="H116" s="4">
        <v>27</v>
      </c>
      <c r="I116" s="4">
        <v>1</v>
      </c>
      <c r="J116" s="4">
        <v>13</v>
      </c>
      <c r="K116" s="4" t="s">
        <v>288</v>
      </c>
      <c r="L116" s="4" t="s">
        <v>289</v>
      </c>
      <c r="M116" s="4" t="s">
        <v>34</v>
      </c>
      <c r="N116" s="4">
        <v>0</v>
      </c>
      <c r="O116" s="4">
        <v>807.39954</v>
      </c>
      <c r="P116" s="4" t="s">
        <v>30</v>
      </c>
      <c r="Q116" s="4" t="s">
        <v>30</v>
      </c>
      <c r="R116" s="4">
        <v>1.7669999999999999E-3</v>
      </c>
      <c r="S116" s="4">
        <v>1.5970000000000002E-2</v>
      </c>
      <c r="T116" s="4">
        <v>1.35</v>
      </c>
    </row>
    <row r="117" spans="1:20" hidden="1" outlineLevel="1" collapsed="1" x14ac:dyDescent="0.2">
      <c r="A117" t="s">
        <v>34</v>
      </c>
      <c r="B117" s="4" t="s">
        <v>30</v>
      </c>
      <c r="C117" s="4" t="s">
        <v>290</v>
      </c>
      <c r="D117" s="4" t="s">
        <v>34</v>
      </c>
      <c r="E117" s="4">
        <v>6.4436499999999994E-2</v>
      </c>
      <c r="F117" s="4">
        <v>3.7876699999999999E-3</v>
      </c>
      <c r="G117" s="4">
        <v>6</v>
      </c>
      <c r="H117" s="4">
        <v>14</v>
      </c>
      <c r="I117" s="4">
        <v>1</v>
      </c>
      <c r="J117" s="4">
        <v>6</v>
      </c>
      <c r="K117" s="4" t="s">
        <v>291</v>
      </c>
      <c r="L117" s="4" t="s">
        <v>292</v>
      </c>
      <c r="M117" s="4" t="s">
        <v>34</v>
      </c>
      <c r="N117" s="4">
        <v>0</v>
      </c>
      <c r="O117" s="4">
        <v>809.44034999999997</v>
      </c>
      <c r="P117" s="4" t="s">
        <v>30</v>
      </c>
      <c r="Q117" s="4" t="s">
        <v>30</v>
      </c>
      <c r="R117" s="4">
        <v>1.7669999999999999E-3</v>
      </c>
      <c r="S117" s="4">
        <v>2.8740000000000002E-2</v>
      </c>
      <c r="T117" s="4">
        <v>1.0900000000000001</v>
      </c>
    </row>
    <row r="118" spans="1:20" hidden="1" outlineLevel="1" collapsed="1" x14ac:dyDescent="0.2">
      <c r="A118" t="s">
        <v>34</v>
      </c>
      <c r="B118" s="4" t="s">
        <v>30</v>
      </c>
      <c r="C118" s="4" t="s">
        <v>293</v>
      </c>
      <c r="D118" s="4" t="s">
        <v>34</v>
      </c>
      <c r="E118" s="4">
        <v>0.108998</v>
      </c>
      <c r="F118" s="4">
        <v>3.7876699999999999E-3</v>
      </c>
      <c r="G118" s="4">
        <v>5</v>
      </c>
      <c r="H118" s="4">
        <v>11</v>
      </c>
      <c r="I118" s="4">
        <v>1</v>
      </c>
      <c r="J118" s="4">
        <v>1</v>
      </c>
      <c r="K118" s="4" t="s">
        <v>294</v>
      </c>
      <c r="L118" s="4" t="s">
        <v>295</v>
      </c>
      <c r="M118" s="4" t="s">
        <v>34</v>
      </c>
      <c r="N118" s="4">
        <v>1</v>
      </c>
      <c r="O118" s="4">
        <v>1064.60987</v>
      </c>
      <c r="P118" s="4" t="s">
        <v>30</v>
      </c>
      <c r="Q118" s="4" t="s">
        <v>30</v>
      </c>
      <c r="R118" s="4">
        <v>1.7669999999999999E-3</v>
      </c>
      <c r="S118" s="4">
        <v>5.2560000000000003E-2</v>
      </c>
      <c r="T118" s="4">
        <v>1.46</v>
      </c>
    </row>
    <row r="119" spans="1:20" hidden="1" outlineLevel="1" collapsed="1" x14ac:dyDescent="0.2">
      <c r="A119" t="s">
        <v>34</v>
      </c>
      <c r="B119" s="4" t="s">
        <v>30</v>
      </c>
      <c r="C119" s="4" t="s">
        <v>296</v>
      </c>
      <c r="D119" s="4" t="s">
        <v>34</v>
      </c>
      <c r="E119" s="4">
        <v>4.6406200000000002E-2</v>
      </c>
      <c r="F119" s="4">
        <v>3.7876699999999999E-3</v>
      </c>
      <c r="G119" s="4">
        <v>1</v>
      </c>
      <c r="H119" s="4">
        <v>3</v>
      </c>
      <c r="I119" s="4">
        <v>1</v>
      </c>
      <c r="J119" s="4">
        <v>4</v>
      </c>
      <c r="K119" s="4" t="s">
        <v>216</v>
      </c>
      <c r="L119" s="4" t="s">
        <v>297</v>
      </c>
      <c r="M119" s="4" t="s">
        <v>34</v>
      </c>
      <c r="N119" s="4">
        <v>0</v>
      </c>
      <c r="O119" s="4">
        <v>1165.5847799999999</v>
      </c>
      <c r="P119" s="4" t="s">
        <v>30</v>
      </c>
      <c r="Q119" s="4" t="s">
        <v>30</v>
      </c>
      <c r="R119" s="4">
        <v>1.7669999999999999E-3</v>
      </c>
      <c r="S119" s="4">
        <v>1.985E-2</v>
      </c>
      <c r="T119" s="4">
        <v>2.57</v>
      </c>
    </row>
    <row r="120" spans="1:20" hidden="1" outlineLevel="1" collapsed="1" x14ac:dyDescent="0.2">
      <c r="A120" t="s">
        <v>34</v>
      </c>
      <c r="B120" s="4" t="s">
        <v>30</v>
      </c>
      <c r="C120" s="4" t="s">
        <v>298</v>
      </c>
      <c r="D120" s="4" t="s">
        <v>34</v>
      </c>
      <c r="E120" s="4">
        <v>6.5979899999999994E-2</v>
      </c>
      <c r="F120" s="4">
        <v>3.7876699999999999E-3</v>
      </c>
      <c r="G120" s="4">
        <v>1</v>
      </c>
      <c r="H120" s="4">
        <v>2</v>
      </c>
      <c r="I120" s="4">
        <v>1</v>
      </c>
      <c r="J120" s="4">
        <v>2</v>
      </c>
      <c r="K120" s="4" t="s">
        <v>216</v>
      </c>
      <c r="L120" s="4" t="s">
        <v>299</v>
      </c>
      <c r="M120" s="4" t="s">
        <v>34</v>
      </c>
      <c r="N120" s="4">
        <v>1</v>
      </c>
      <c r="O120" s="4">
        <v>995.51966000000004</v>
      </c>
      <c r="P120" s="4" t="s">
        <v>30</v>
      </c>
      <c r="Q120" s="4" t="s">
        <v>30</v>
      </c>
      <c r="R120" s="4">
        <v>1.7669999999999999E-3</v>
      </c>
      <c r="S120" s="4">
        <v>2.964E-2</v>
      </c>
      <c r="T120" s="4">
        <v>1.5</v>
      </c>
    </row>
    <row r="121" spans="1:20" hidden="1" outlineLevel="1" collapsed="1" x14ac:dyDescent="0.2">
      <c r="A121" t="s">
        <v>34</v>
      </c>
      <c r="B121" s="4" t="s">
        <v>30</v>
      </c>
      <c r="C121" s="4" t="s">
        <v>300</v>
      </c>
      <c r="D121" s="4" t="s">
        <v>34</v>
      </c>
      <c r="E121" s="4">
        <v>7.7102299999999999E-2</v>
      </c>
      <c r="F121" s="4">
        <v>3.7876699999999999E-3</v>
      </c>
      <c r="G121" s="4">
        <v>1</v>
      </c>
      <c r="H121" s="4">
        <v>3</v>
      </c>
      <c r="I121" s="4">
        <v>1</v>
      </c>
      <c r="J121" s="4">
        <v>2</v>
      </c>
      <c r="K121" s="4" t="s">
        <v>216</v>
      </c>
      <c r="L121" s="4" t="s">
        <v>301</v>
      </c>
      <c r="M121" s="4" t="s">
        <v>34</v>
      </c>
      <c r="N121" s="4">
        <v>1</v>
      </c>
      <c r="O121" s="4">
        <v>1234.6790100000001</v>
      </c>
      <c r="P121" s="4" t="s">
        <v>30</v>
      </c>
      <c r="Q121" s="4" t="s">
        <v>30</v>
      </c>
      <c r="R121" s="4">
        <v>1.7669999999999999E-3</v>
      </c>
      <c r="S121" s="4">
        <v>3.5360000000000003E-2</v>
      </c>
      <c r="T121" s="4">
        <v>2.71</v>
      </c>
    </row>
    <row r="122" spans="1:20" hidden="1" outlineLevel="1" collapsed="1" x14ac:dyDescent="0.2">
      <c r="A122" t="s">
        <v>34</v>
      </c>
      <c r="B122" s="4" t="s">
        <v>30</v>
      </c>
      <c r="C122" s="4" t="s">
        <v>302</v>
      </c>
      <c r="D122" s="4" t="s">
        <v>61</v>
      </c>
      <c r="E122" s="4">
        <v>1.8406700000000002E-2</v>
      </c>
      <c r="F122" s="4">
        <v>3.7876699999999999E-3</v>
      </c>
      <c r="G122" s="4">
        <v>1</v>
      </c>
      <c r="H122" s="4">
        <v>2</v>
      </c>
      <c r="I122" s="4">
        <v>1</v>
      </c>
      <c r="J122" s="4">
        <v>2</v>
      </c>
      <c r="K122" s="4" t="s">
        <v>216</v>
      </c>
      <c r="L122" s="4" t="s">
        <v>303</v>
      </c>
      <c r="M122" s="4" t="s">
        <v>34</v>
      </c>
      <c r="N122" s="4">
        <v>1</v>
      </c>
      <c r="O122" s="4">
        <v>1316.5899400000001</v>
      </c>
      <c r="P122" s="4" t="s">
        <v>30</v>
      </c>
      <c r="Q122" s="4" t="s">
        <v>30</v>
      </c>
      <c r="R122" s="4">
        <v>1.7669999999999999E-3</v>
      </c>
      <c r="S122" s="4">
        <v>7.0289999999999997E-3</v>
      </c>
      <c r="T122" s="4">
        <v>2.5499999999999998</v>
      </c>
    </row>
    <row r="123" spans="1:20" hidden="1" outlineLevel="1" collapsed="1" x14ac:dyDescent="0.2">
      <c r="A123" t="s">
        <v>34</v>
      </c>
      <c r="B123" s="4" t="s">
        <v>30</v>
      </c>
      <c r="C123" s="4" t="s">
        <v>304</v>
      </c>
      <c r="D123" s="4" t="s">
        <v>34</v>
      </c>
      <c r="E123" s="4">
        <v>6.1790300000000005E-4</v>
      </c>
      <c r="F123" s="4">
        <v>3.7876699999999999E-3</v>
      </c>
      <c r="G123" s="4">
        <v>1</v>
      </c>
      <c r="H123" s="4">
        <v>3</v>
      </c>
      <c r="I123" s="4">
        <v>1</v>
      </c>
      <c r="J123" s="4">
        <v>4</v>
      </c>
      <c r="K123" s="4" t="s">
        <v>216</v>
      </c>
      <c r="L123" s="4" t="s">
        <v>305</v>
      </c>
      <c r="M123" s="4" t="s">
        <v>34</v>
      </c>
      <c r="N123" s="4">
        <v>0</v>
      </c>
      <c r="O123" s="4">
        <v>1390.6808599999999</v>
      </c>
      <c r="P123" s="4" t="s">
        <v>30</v>
      </c>
      <c r="Q123" s="4" t="s">
        <v>30</v>
      </c>
      <c r="R123" s="4">
        <v>1.7669999999999999E-3</v>
      </c>
      <c r="S123" s="4">
        <v>1.5870000000000001E-4</v>
      </c>
      <c r="T123" s="4">
        <v>3.17</v>
      </c>
    </row>
    <row r="124" spans="1:20" hidden="1" outlineLevel="1" collapsed="1" x14ac:dyDescent="0.2">
      <c r="A124" t="s">
        <v>34</v>
      </c>
      <c r="B124" s="4" t="s">
        <v>30</v>
      </c>
      <c r="C124" s="4" t="s">
        <v>306</v>
      </c>
      <c r="D124" s="4" t="s">
        <v>34</v>
      </c>
      <c r="E124" s="4">
        <v>1.67881E-2</v>
      </c>
      <c r="F124" s="4">
        <v>3.7876699999999999E-3</v>
      </c>
      <c r="G124" s="4">
        <v>2</v>
      </c>
      <c r="H124" s="4">
        <v>6</v>
      </c>
      <c r="I124" s="4">
        <v>1</v>
      </c>
      <c r="J124" s="4">
        <v>2</v>
      </c>
      <c r="K124" s="4" t="s">
        <v>307</v>
      </c>
      <c r="L124" s="4" t="s">
        <v>308</v>
      </c>
      <c r="M124" s="4" t="s">
        <v>34</v>
      </c>
      <c r="N124" s="4">
        <v>0</v>
      </c>
      <c r="O124" s="4">
        <v>1201.6171400000001</v>
      </c>
      <c r="P124" s="4" t="s">
        <v>30</v>
      </c>
      <c r="Q124" s="4" t="s">
        <v>30</v>
      </c>
      <c r="R124" s="4">
        <v>1.7669999999999999E-3</v>
      </c>
      <c r="S124" s="4">
        <v>6.3200000000000001E-3</v>
      </c>
      <c r="T124" s="4">
        <v>2.4</v>
      </c>
    </row>
    <row r="125" spans="1:20" hidden="1" outlineLevel="1" collapsed="1" x14ac:dyDescent="0.2">
      <c r="A125" t="s">
        <v>34</v>
      </c>
      <c r="B125" s="4" t="s">
        <v>30</v>
      </c>
      <c r="C125" s="4" t="s">
        <v>309</v>
      </c>
      <c r="D125" s="4" t="s">
        <v>34</v>
      </c>
      <c r="E125" s="4">
        <v>0.135966</v>
      </c>
      <c r="F125" s="4">
        <v>3.7876699999999999E-3</v>
      </c>
      <c r="G125" s="4">
        <v>2</v>
      </c>
      <c r="H125" s="4">
        <v>6</v>
      </c>
      <c r="I125" s="4">
        <v>1</v>
      </c>
      <c r="J125" s="4">
        <v>2</v>
      </c>
      <c r="K125" s="4" t="s">
        <v>307</v>
      </c>
      <c r="L125" s="4" t="s">
        <v>310</v>
      </c>
      <c r="M125" s="4" t="s">
        <v>34</v>
      </c>
      <c r="N125" s="4">
        <v>1</v>
      </c>
      <c r="O125" s="4">
        <v>1357.7182499999999</v>
      </c>
      <c r="P125" s="4" t="s">
        <v>30</v>
      </c>
      <c r="Q125" s="4" t="s">
        <v>30</v>
      </c>
      <c r="R125" s="4">
        <v>1.7669999999999999E-3</v>
      </c>
      <c r="S125" s="4">
        <v>6.7790000000000003E-2</v>
      </c>
      <c r="T125" s="4">
        <v>1.74</v>
      </c>
    </row>
    <row r="126" spans="1:20" hidden="1" outlineLevel="1" collapsed="1" x14ac:dyDescent="0.2">
      <c r="A126" t="s">
        <v>34</v>
      </c>
      <c r="B126" s="4" t="s">
        <v>30</v>
      </c>
      <c r="C126" s="4" t="s">
        <v>311</v>
      </c>
      <c r="D126" s="4" t="s">
        <v>34</v>
      </c>
      <c r="E126" s="4">
        <v>9.3024599999999999E-2</v>
      </c>
      <c r="F126" s="4">
        <v>3.7876699999999999E-3</v>
      </c>
      <c r="G126" s="4">
        <v>1</v>
      </c>
      <c r="H126" s="4">
        <v>3</v>
      </c>
      <c r="I126" s="4">
        <v>1</v>
      </c>
      <c r="J126" s="4">
        <v>3</v>
      </c>
      <c r="K126" s="4" t="s">
        <v>216</v>
      </c>
      <c r="L126" s="4" t="s">
        <v>312</v>
      </c>
      <c r="M126" s="4" t="s">
        <v>34</v>
      </c>
      <c r="N126" s="4">
        <v>0</v>
      </c>
      <c r="O126" s="4">
        <v>847.45196999999996</v>
      </c>
      <c r="P126" s="4" t="s">
        <v>30</v>
      </c>
      <c r="Q126" s="4" t="s">
        <v>30</v>
      </c>
      <c r="R126" s="4">
        <v>1.7669999999999999E-3</v>
      </c>
      <c r="S126" s="4">
        <v>4.3740000000000001E-2</v>
      </c>
      <c r="T126" s="4">
        <v>1.47</v>
      </c>
    </row>
    <row r="127" spans="1:20" hidden="1" outlineLevel="1" collapsed="1" x14ac:dyDescent="0.2">
      <c r="A127" t="s">
        <v>34</v>
      </c>
      <c r="B127" s="4" t="s">
        <v>30</v>
      </c>
      <c r="C127" s="4" t="s">
        <v>313</v>
      </c>
      <c r="D127" s="4" t="s">
        <v>314</v>
      </c>
      <c r="E127" s="4">
        <v>9.8011299999999999E-3</v>
      </c>
      <c r="F127" s="4">
        <v>3.7876699999999999E-3</v>
      </c>
      <c r="G127" s="4">
        <v>1</v>
      </c>
      <c r="H127" s="4">
        <v>2</v>
      </c>
      <c r="I127" s="4">
        <v>1</v>
      </c>
      <c r="J127" s="4">
        <v>1</v>
      </c>
      <c r="K127" s="4" t="s">
        <v>216</v>
      </c>
      <c r="L127" s="4" t="s">
        <v>315</v>
      </c>
      <c r="M127" s="4" t="s">
        <v>34</v>
      </c>
      <c r="N127" s="4">
        <v>0</v>
      </c>
      <c r="O127" s="4">
        <v>1549.6771900000001</v>
      </c>
      <c r="P127" s="4" t="s">
        <v>30</v>
      </c>
      <c r="Q127" s="4" t="s">
        <v>30</v>
      </c>
      <c r="R127" s="4">
        <v>1.7669999999999999E-3</v>
      </c>
      <c r="S127" s="4">
        <v>3.4749999999999998E-3</v>
      </c>
      <c r="T127" s="4">
        <v>2.0099999999999998</v>
      </c>
    </row>
    <row r="128" spans="1:20" hidden="1" outlineLevel="1" collapsed="1" x14ac:dyDescent="0.2">
      <c r="A128" t="s">
        <v>34</v>
      </c>
      <c r="B128" s="4" t="s">
        <v>30</v>
      </c>
      <c r="C128" s="4" t="s">
        <v>316</v>
      </c>
      <c r="D128" s="4" t="s">
        <v>34</v>
      </c>
      <c r="E128" s="4">
        <v>0.219526</v>
      </c>
      <c r="F128" s="4">
        <v>9.5666499999999995E-3</v>
      </c>
      <c r="G128" s="4">
        <v>1</v>
      </c>
      <c r="H128" s="4">
        <v>3</v>
      </c>
      <c r="I128" s="4">
        <v>1</v>
      </c>
      <c r="J128" s="4">
        <v>1</v>
      </c>
      <c r="K128" s="4" t="s">
        <v>216</v>
      </c>
      <c r="L128" s="4" t="s">
        <v>317</v>
      </c>
      <c r="M128" s="4" t="s">
        <v>34</v>
      </c>
      <c r="N128" s="4">
        <v>1</v>
      </c>
      <c r="O128" s="4">
        <v>2212.0979499999999</v>
      </c>
      <c r="P128" s="4" t="s">
        <v>30</v>
      </c>
      <c r="Q128" s="4" t="s">
        <v>30</v>
      </c>
      <c r="R128" s="4">
        <v>4.1380000000000002E-3</v>
      </c>
      <c r="S128" s="4">
        <v>0.1187</v>
      </c>
      <c r="T128" s="4">
        <v>3.89</v>
      </c>
    </row>
    <row r="129" spans="1:30" hidden="1" outlineLevel="1" collapsed="1" x14ac:dyDescent="0.2">
      <c r="A129" t="s">
        <v>34</v>
      </c>
      <c r="B129" s="4" t="s">
        <v>30</v>
      </c>
      <c r="C129" s="4" t="s">
        <v>318</v>
      </c>
      <c r="D129" s="4" t="s">
        <v>34</v>
      </c>
      <c r="E129" s="4">
        <v>5.7734799999999999E-4</v>
      </c>
      <c r="F129" s="4">
        <v>3.7876699999999999E-3</v>
      </c>
      <c r="G129" s="4">
        <v>1</v>
      </c>
      <c r="H129" s="4">
        <v>3</v>
      </c>
      <c r="I129" s="4">
        <v>1</v>
      </c>
      <c r="J129" s="4">
        <v>2</v>
      </c>
      <c r="K129" s="4" t="s">
        <v>216</v>
      </c>
      <c r="L129" s="4" t="s">
        <v>319</v>
      </c>
      <c r="M129" s="4" t="s">
        <v>34</v>
      </c>
      <c r="N129" s="4">
        <v>0</v>
      </c>
      <c r="O129" s="4">
        <v>1262.5971300000001</v>
      </c>
      <c r="P129" s="4" t="s">
        <v>30</v>
      </c>
      <c r="Q129" s="4" t="s">
        <v>30</v>
      </c>
      <c r="R129" s="4">
        <v>1.7669999999999999E-3</v>
      </c>
      <c r="S129" s="4">
        <v>1.4660000000000001E-4</v>
      </c>
      <c r="T129" s="4">
        <v>1.74</v>
      </c>
    </row>
    <row r="130" spans="1:30" hidden="1" outlineLevel="1" collapsed="1" x14ac:dyDescent="0.2">
      <c r="A130" t="s">
        <v>34</v>
      </c>
      <c r="B130" s="4" t="s">
        <v>30</v>
      </c>
      <c r="C130" s="4" t="s">
        <v>320</v>
      </c>
      <c r="D130" s="4" t="s">
        <v>34</v>
      </c>
      <c r="E130" s="4">
        <v>1.5839599999999999E-2</v>
      </c>
      <c r="F130" s="4">
        <v>3.7876699999999999E-3</v>
      </c>
      <c r="G130" s="4">
        <v>1</v>
      </c>
      <c r="H130" s="4">
        <v>2</v>
      </c>
      <c r="I130" s="4">
        <v>1</v>
      </c>
      <c r="J130" s="4">
        <v>4</v>
      </c>
      <c r="K130" s="4" t="s">
        <v>216</v>
      </c>
      <c r="L130" s="4" t="s">
        <v>321</v>
      </c>
      <c r="M130" s="4" t="s">
        <v>34</v>
      </c>
      <c r="N130" s="4">
        <v>0</v>
      </c>
      <c r="O130" s="4">
        <v>1365.63933</v>
      </c>
      <c r="P130" s="4" t="s">
        <v>30</v>
      </c>
      <c r="Q130" s="4" t="s">
        <v>30</v>
      </c>
      <c r="R130" s="4">
        <v>1.7669999999999999E-3</v>
      </c>
      <c r="S130" s="4">
        <v>5.9220000000000002E-3</v>
      </c>
      <c r="T130" s="4">
        <v>2.17</v>
      </c>
    </row>
    <row r="131" spans="1:30" hidden="1" outlineLevel="1" collapsed="1" x14ac:dyDescent="0.2">
      <c r="A131" t="s">
        <v>34</v>
      </c>
      <c r="B131" s="4" t="s">
        <v>30</v>
      </c>
      <c r="C131" s="4" t="s">
        <v>322</v>
      </c>
      <c r="D131" s="4" t="s">
        <v>34</v>
      </c>
      <c r="E131" s="4">
        <v>6.1746200000000001E-2</v>
      </c>
      <c r="F131" s="4">
        <v>3.7876699999999999E-3</v>
      </c>
      <c r="G131" s="4">
        <v>1</v>
      </c>
      <c r="H131" s="4">
        <v>2</v>
      </c>
      <c r="I131" s="4">
        <v>1</v>
      </c>
      <c r="J131" s="4">
        <v>3</v>
      </c>
      <c r="K131" s="4" t="s">
        <v>216</v>
      </c>
      <c r="L131" s="4" t="s">
        <v>323</v>
      </c>
      <c r="M131" s="4" t="s">
        <v>34</v>
      </c>
      <c r="N131" s="4">
        <v>1</v>
      </c>
      <c r="O131" s="4">
        <v>1493.7343000000001</v>
      </c>
      <c r="P131" s="4" t="s">
        <v>30</v>
      </c>
      <c r="Q131" s="4" t="s">
        <v>30</v>
      </c>
      <c r="R131" s="4">
        <v>1.7669999999999999E-3</v>
      </c>
      <c r="S131" s="4">
        <v>2.741E-2</v>
      </c>
      <c r="T131" s="4">
        <v>2.44</v>
      </c>
    </row>
    <row r="132" spans="1:30" hidden="1" outlineLevel="1" collapsed="1" x14ac:dyDescent="0.2">
      <c r="A132" t="s">
        <v>34</v>
      </c>
      <c r="B132" s="4" t="s">
        <v>30</v>
      </c>
      <c r="C132" s="4" t="s">
        <v>324</v>
      </c>
      <c r="D132" s="4" t="s">
        <v>34</v>
      </c>
      <c r="E132" s="4">
        <v>3.9198000000000002E-3</v>
      </c>
      <c r="F132" s="4">
        <v>3.7876699999999999E-3</v>
      </c>
      <c r="G132" s="4">
        <v>1</v>
      </c>
      <c r="H132" s="4">
        <v>3</v>
      </c>
      <c r="I132" s="4">
        <v>1</v>
      </c>
      <c r="J132" s="4">
        <v>1</v>
      </c>
      <c r="K132" s="4" t="s">
        <v>216</v>
      </c>
      <c r="L132" s="4" t="s">
        <v>325</v>
      </c>
      <c r="M132" s="4" t="s">
        <v>34</v>
      </c>
      <c r="N132" s="4">
        <v>1</v>
      </c>
      <c r="O132" s="4">
        <v>1495.6983</v>
      </c>
      <c r="P132" s="4" t="s">
        <v>30</v>
      </c>
      <c r="Q132" s="4" t="s">
        <v>30</v>
      </c>
      <c r="R132" s="4">
        <v>1.7669999999999999E-3</v>
      </c>
      <c r="S132" s="4">
        <v>1.2489999999999999E-3</v>
      </c>
      <c r="T132" s="4">
        <v>2.4500000000000002</v>
      </c>
    </row>
    <row r="133" spans="1:30" hidden="1" outlineLevel="1" collapsed="1" x14ac:dyDescent="0.2">
      <c r="A133" t="s">
        <v>34</v>
      </c>
      <c r="B133" s="4" t="s">
        <v>30</v>
      </c>
      <c r="C133" s="4" t="s">
        <v>326</v>
      </c>
      <c r="D133" s="4" t="s">
        <v>34</v>
      </c>
      <c r="E133" s="4">
        <v>1.8676100000000001E-2</v>
      </c>
      <c r="F133" s="4">
        <v>3.7876699999999999E-3</v>
      </c>
      <c r="G133" s="4">
        <v>1</v>
      </c>
      <c r="H133" s="4">
        <v>3</v>
      </c>
      <c r="I133" s="4">
        <v>1</v>
      </c>
      <c r="J133" s="4">
        <v>6</v>
      </c>
      <c r="K133" s="4" t="s">
        <v>216</v>
      </c>
      <c r="L133" s="4" t="s">
        <v>327</v>
      </c>
      <c r="M133" s="4" t="s">
        <v>34</v>
      </c>
      <c r="N133" s="4">
        <v>0</v>
      </c>
      <c r="O133" s="4">
        <v>1031.5983000000001</v>
      </c>
      <c r="P133" s="4" t="s">
        <v>30</v>
      </c>
      <c r="Q133" s="4" t="s">
        <v>30</v>
      </c>
      <c r="R133" s="4">
        <v>1.7669999999999999E-3</v>
      </c>
      <c r="S133" s="4">
        <v>7.1300000000000001E-3</v>
      </c>
      <c r="T133" s="4">
        <v>2.17</v>
      </c>
    </row>
    <row r="134" spans="1:30" hidden="1" outlineLevel="1" collapsed="1" x14ac:dyDescent="0.2">
      <c r="A134" t="s">
        <v>34</v>
      </c>
      <c r="B134" s="4" t="s">
        <v>30</v>
      </c>
      <c r="C134" s="4" t="s">
        <v>328</v>
      </c>
      <c r="D134" s="4" t="s">
        <v>34</v>
      </c>
      <c r="E134" s="4">
        <v>4.9613400000000002E-2</v>
      </c>
      <c r="F134" s="4">
        <v>3.7876699999999999E-3</v>
      </c>
      <c r="G134" s="4">
        <v>4</v>
      </c>
      <c r="H134" s="4">
        <v>8</v>
      </c>
      <c r="I134" s="4">
        <v>1</v>
      </c>
      <c r="J134" s="4">
        <v>2</v>
      </c>
      <c r="K134" s="4" t="s">
        <v>329</v>
      </c>
      <c r="L134" s="4" t="s">
        <v>330</v>
      </c>
      <c r="M134" s="4" t="s">
        <v>34</v>
      </c>
      <c r="N134" s="4">
        <v>0</v>
      </c>
      <c r="O134" s="4">
        <v>1090.53097</v>
      </c>
      <c r="P134" s="4" t="s">
        <v>30</v>
      </c>
      <c r="Q134" s="4" t="s">
        <v>30</v>
      </c>
      <c r="R134" s="4">
        <v>1.7669999999999999E-3</v>
      </c>
      <c r="S134" s="4">
        <v>2.138E-2</v>
      </c>
      <c r="T134" s="4">
        <v>1.49</v>
      </c>
    </row>
    <row r="135" spans="1:30" hidden="1" outlineLevel="1" collapsed="1" x14ac:dyDescent="0.2">
      <c r="A135" t="s">
        <v>34</v>
      </c>
      <c r="B135" s="4" t="s">
        <v>30</v>
      </c>
      <c r="C135" s="4" t="s">
        <v>328</v>
      </c>
      <c r="D135" s="4" t="s">
        <v>331</v>
      </c>
      <c r="E135" s="4">
        <v>2.27744E-2</v>
      </c>
      <c r="F135" s="4">
        <v>3.7876699999999999E-3</v>
      </c>
      <c r="G135" s="4">
        <v>4</v>
      </c>
      <c r="H135" s="4">
        <v>8</v>
      </c>
      <c r="I135" s="4">
        <v>1</v>
      </c>
      <c r="J135" s="4">
        <v>16</v>
      </c>
      <c r="K135" s="4" t="s">
        <v>329</v>
      </c>
      <c r="L135" s="4" t="s">
        <v>330</v>
      </c>
      <c r="M135" s="4" t="s">
        <v>34</v>
      </c>
      <c r="N135" s="4">
        <v>0</v>
      </c>
      <c r="O135" s="4">
        <v>1106.5258799999999</v>
      </c>
      <c r="P135" s="4" t="s">
        <v>30</v>
      </c>
      <c r="Q135" s="4" t="s">
        <v>30</v>
      </c>
      <c r="R135" s="4">
        <v>1.7669999999999999E-3</v>
      </c>
      <c r="S135" s="4">
        <v>8.9359999999999995E-3</v>
      </c>
      <c r="T135" s="4">
        <v>2.31</v>
      </c>
    </row>
    <row r="136" spans="1:30" hidden="1" outlineLevel="1" collapsed="1" x14ac:dyDescent="0.2">
      <c r="A136" t="s">
        <v>34</v>
      </c>
      <c r="B136" s="4" t="s">
        <v>30</v>
      </c>
      <c r="C136" s="4" t="s">
        <v>332</v>
      </c>
      <c r="D136" s="4" t="s">
        <v>34</v>
      </c>
      <c r="E136" s="4">
        <v>4.2988499999999999E-2</v>
      </c>
      <c r="F136" s="4">
        <v>3.7876699999999999E-3</v>
      </c>
      <c r="G136" s="4">
        <v>1</v>
      </c>
      <c r="H136" s="4">
        <v>3</v>
      </c>
      <c r="I136" s="4">
        <v>1</v>
      </c>
      <c r="J136" s="4">
        <v>2</v>
      </c>
      <c r="K136" s="4" t="s">
        <v>216</v>
      </c>
      <c r="L136" s="4" t="s">
        <v>333</v>
      </c>
      <c r="M136" s="4" t="s">
        <v>34</v>
      </c>
      <c r="N136" s="4">
        <v>0</v>
      </c>
      <c r="O136" s="4">
        <v>993.49999000000003</v>
      </c>
      <c r="P136" s="4" t="s">
        <v>30</v>
      </c>
      <c r="Q136" s="4" t="s">
        <v>30</v>
      </c>
      <c r="R136" s="4">
        <v>1.7669999999999999E-3</v>
      </c>
      <c r="S136" s="4">
        <v>1.8169999999999999E-2</v>
      </c>
      <c r="T136" s="4">
        <v>1.77</v>
      </c>
    </row>
    <row r="137" spans="1:30" collapsed="1" x14ac:dyDescent="0.2">
      <c r="A137" s="3" t="s">
        <v>30</v>
      </c>
      <c r="B137" s="3" t="s">
        <v>31</v>
      </c>
      <c r="C137" s="3" t="s">
        <v>334</v>
      </c>
      <c r="D137" s="3" t="s">
        <v>335</v>
      </c>
      <c r="E137" s="3">
        <v>0</v>
      </c>
      <c r="F137" s="3">
        <v>49.930999999999997</v>
      </c>
      <c r="G137" s="3">
        <v>33</v>
      </c>
      <c r="H137" s="3">
        <v>19</v>
      </c>
      <c r="I137" s="3">
        <v>22</v>
      </c>
      <c r="J137" s="3">
        <v>92</v>
      </c>
      <c r="K137" s="3">
        <v>18</v>
      </c>
      <c r="L137" s="3">
        <v>623</v>
      </c>
      <c r="M137" s="3">
        <v>62</v>
      </c>
      <c r="N137" s="3">
        <v>5.24</v>
      </c>
      <c r="O137" s="3">
        <v>93.92</v>
      </c>
      <c r="P137" s="3">
        <v>19</v>
      </c>
      <c r="Q137" s="3" t="s">
        <v>336</v>
      </c>
      <c r="R137" s="3" t="s">
        <v>337</v>
      </c>
      <c r="S137" s="3" t="s">
        <v>338</v>
      </c>
      <c r="T137" s="3" t="s">
        <v>339</v>
      </c>
      <c r="U137" s="3" t="s">
        <v>340</v>
      </c>
      <c r="V137" s="3" t="s">
        <v>341</v>
      </c>
      <c r="W137" s="3" t="s">
        <v>342</v>
      </c>
      <c r="X137" s="3" t="s">
        <v>343</v>
      </c>
      <c r="Y137" s="3" t="s">
        <v>344</v>
      </c>
      <c r="Z137" s="3" t="s">
        <v>34</v>
      </c>
      <c r="AA137" s="3">
        <v>2</v>
      </c>
      <c r="AB137" s="3" t="s">
        <v>30</v>
      </c>
      <c r="AC137" s="3">
        <v>1</v>
      </c>
      <c r="AD137" s="3" t="s">
        <v>34</v>
      </c>
    </row>
    <row r="138" spans="1:30" hidden="1" outlineLevel="1" collapsed="1" x14ac:dyDescent="0.2">
      <c r="A138" t="s">
        <v>34</v>
      </c>
      <c r="B138" s="2" t="s">
        <v>36</v>
      </c>
      <c r="C138" s="2" t="s">
        <v>37</v>
      </c>
      <c r="D138" s="2" t="s">
        <v>29</v>
      </c>
      <c r="E138" s="2" t="s">
        <v>38</v>
      </c>
      <c r="F138" s="2" t="s">
        <v>39</v>
      </c>
      <c r="G138" s="2" t="s">
        <v>28</v>
      </c>
      <c r="H138" s="2" t="s">
        <v>40</v>
      </c>
      <c r="I138" s="2" t="s">
        <v>8</v>
      </c>
      <c r="J138" s="2" t="s">
        <v>9</v>
      </c>
      <c r="K138" s="2" t="s">
        <v>41</v>
      </c>
      <c r="L138" s="2" t="s">
        <v>42</v>
      </c>
      <c r="M138" s="2" t="s">
        <v>43</v>
      </c>
      <c r="N138" s="2" t="s">
        <v>44</v>
      </c>
      <c r="O138" s="2" t="s">
        <v>45</v>
      </c>
      <c r="P138" s="2" t="s">
        <v>27</v>
      </c>
      <c r="Q138" s="2" t="s">
        <v>46</v>
      </c>
      <c r="R138" s="2" t="s">
        <v>47</v>
      </c>
      <c r="S138" s="2" t="s">
        <v>48</v>
      </c>
      <c r="T138" s="2" t="s">
        <v>49</v>
      </c>
    </row>
    <row r="139" spans="1:30" hidden="1" outlineLevel="1" collapsed="1" x14ac:dyDescent="0.2">
      <c r="A139" t="s">
        <v>34</v>
      </c>
      <c r="B139" s="4" t="s">
        <v>30</v>
      </c>
      <c r="C139" s="4" t="s">
        <v>345</v>
      </c>
      <c r="D139" s="4" t="s">
        <v>34</v>
      </c>
      <c r="E139" s="4">
        <v>1.5535500000000001E-2</v>
      </c>
      <c r="F139" s="4">
        <v>3.7876699999999999E-3</v>
      </c>
      <c r="G139" s="4">
        <v>1</v>
      </c>
      <c r="H139" s="4">
        <v>2</v>
      </c>
      <c r="I139" s="4">
        <v>1</v>
      </c>
      <c r="J139" s="4">
        <v>1</v>
      </c>
      <c r="K139" s="4" t="s">
        <v>334</v>
      </c>
      <c r="L139" s="4" t="s">
        <v>346</v>
      </c>
      <c r="M139" s="4" t="s">
        <v>34</v>
      </c>
      <c r="N139" s="4">
        <v>0</v>
      </c>
      <c r="O139" s="4">
        <v>3264.51386</v>
      </c>
      <c r="P139" s="4" t="s">
        <v>30</v>
      </c>
      <c r="Q139" s="4" t="s">
        <v>30</v>
      </c>
      <c r="R139" s="4">
        <v>1.7669999999999999E-3</v>
      </c>
      <c r="S139" s="4">
        <v>5.8100000000000001E-3</v>
      </c>
      <c r="T139" s="4">
        <v>2.44</v>
      </c>
    </row>
    <row r="140" spans="1:30" hidden="1" outlineLevel="1" collapsed="1" x14ac:dyDescent="0.2">
      <c r="A140" t="s">
        <v>34</v>
      </c>
      <c r="B140" s="4" t="s">
        <v>30</v>
      </c>
      <c r="C140" s="4" t="s">
        <v>347</v>
      </c>
      <c r="D140" s="4" t="s">
        <v>34</v>
      </c>
      <c r="E140" s="4">
        <v>0.155778</v>
      </c>
      <c r="F140" s="4">
        <v>7.4059499999999997E-3</v>
      </c>
      <c r="G140" s="4">
        <v>1</v>
      </c>
      <c r="H140" s="4">
        <v>2</v>
      </c>
      <c r="I140" s="4">
        <v>1</v>
      </c>
      <c r="J140" s="4">
        <v>1</v>
      </c>
      <c r="K140" s="4" t="s">
        <v>334</v>
      </c>
      <c r="L140" s="4" t="s">
        <v>348</v>
      </c>
      <c r="M140" s="4" t="s">
        <v>34</v>
      </c>
      <c r="N140" s="4">
        <v>0</v>
      </c>
      <c r="O140" s="4">
        <v>1315.6852200000001</v>
      </c>
      <c r="P140" s="4" t="s">
        <v>30</v>
      </c>
      <c r="Q140" s="4" t="s">
        <v>30</v>
      </c>
      <c r="R140" s="4">
        <v>3.356E-3</v>
      </c>
      <c r="S140" s="4">
        <v>7.9200000000000007E-2</v>
      </c>
      <c r="T140" s="4">
        <v>2.04</v>
      </c>
    </row>
    <row r="141" spans="1:30" hidden="1" outlineLevel="1" collapsed="1" x14ac:dyDescent="0.2">
      <c r="A141" t="s">
        <v>34</v>
      </c>
      <c r="B141" s="4" t="s">
        <v>30</v>
      </c>
      <c r="C141" s="4" t="s">
        <v>349</v>
      </c>
      <c r="D141" s="4" t="s">
        <v>331</v>
      </c>
      <c r="E141" s="4">
        <v>5.1297099999999998E-2</v>
      </c>
      <c r="F141" s="4">
        <v>3.7876699999999999E-3</v>
      </c>
      <c r="G141" s="4">
        <v>1</v>
      </c>
      <c r="H141" s="4">
        <v>2</v>
      </c>
      <c r="I141" s="4">
        <v>1</v>
      </c>
      <c r="J141" s="4">
        <v>2</v>
      </c>
      <c r="K141" s="4" t="s">
        <v>334</v>
      </c>
      <c r="L141" s="4" t="s">
        <v>350</v>
      </c>
      <c r="M141" s="4" t="s">
        <v>34</v>
      </c>
      <c r="N141" s="4">
        <v>0</v>
      </c>
      <c r="O141" s="4">
        <v>1082.49352</v>
      </c>
      <c r="P141" s="4" t="s">
        <v>30</v>
      </c>
      <c r="Q141" s="4" t="s">
        <v>30</v>
      </c>
      <c r="R141" s="4">
        <v>1.7669999999999999E-3</v>
      </c>
      <c r="S141" s="4">
        <v>2.2249999999999999E-2</v>
      </c>
      <c r="T141" s="4">
        <v>1.79</v>
      </c>
    </row>
    <row r="142" spans="1:30" hidden="1" outlineLevel="1" collapsed="1" x14ac:dyDescent="0.2">
      <c r="A142" t="s">
        <v>34</v>
      </c>
      <c r="B142" s="4" t="s">
        <v>30</v>
      </c>
      <c r="C142" s="4" t="s">
        <v>351</v>
      </c>
      <c r="D142" s="4" t="s">
        <v>34</v>
      </c>
      <c r="E142" s="4">
        <v>4.66284E-2</v>
      </c>
      <c r="F142" s="4">
        <v>3.7876699999999999E-3</v>
      </c>
      <c r="G142" s="4">
        <v>1</v>
      </c>
      <c r="H142" s="4">
        <v>1</v>
      </c>
      <c r="I142" s="4">
        <v>1</v>
      </c>
      <c r="J142" s="4">
        <v>1</v>
      </c>
      <c r="K142" s="4" t="s">
        <v>334</v>
      </c>
      <c r="L142" s="4" t="s">
        <v>352</v>
      </c>
      <c r="M142" s="4" t="s">
        <v>34</v>
      </c>
      <c r="N142" s="4">
        <v>0</v>
      </c>
      <c r="O142" s="4">
        <v>982.43370000000004</v>
      </c>
      <c r="P142" s="4" t="s">
        <v>30</v>
      </c>
      <c r="Q142" s="4" t="s">
        <v>30</v>
      </c>
      <c r="R142" s="4">
        <v>1.7669999999999999E-3</v>
      </c>
      <c r="S142" s="4">
        <v>1.9980000000000001E-2</v>
      </c>
      <c r="T142" s="4">
        <v>1.1399999999999999</v>
      </c>
    </row>
    <row r="143" spans="1:30" hidden="1" outlineLevel="1" collapsed="1" x14ac:dyDescent="0.2">
      <c r="A143" t="s">
        <v>34</v>
      </c>
      <c r="B143" s="4" t="s">
        <v>30</v>
      </c>
      <c r="C143" s="4" t="s">
        <v>353</v>
      </c>
      <c r="D143" s="4" t="s">
        <v>34</v>
      </c>
      <c r="E143" s="4">
        <v>3.78898E-3</v>
      </c>
      <c r="F143" s="4">
        <v>3.7876699999999999E-3</v>
      </c>
      <c r="G143" s="4">
        <v>1</v>
      </c>
      <c r="H143" s="4">
        <v>2</v>
      </c>
      <c r="I143" s="4">
        <v>1</v>
      </c>
      <c r="J143" s="4">
        <v>6</v>
      </c>
      <c r="K143" s="4" t="s">
        <v>334</v>
      </c>
      <c r="L143" s="4" t="s">
        <v>354</v>
      </c>
      <c r="M143" s="4" t="s">
        <v>34</v>
      </c>
      <c r="N143" s="4">
        <v>0</v>
      </c>
      <c r="O143" s="4">
        <v>1235.52872</v>
      </c>
      <c r="P143" s="4" t="s">
        <v>30</v>
      </c>
      <c r="Q143" s="4" t="s">
        <v>30</v>
      </c>
      <c r="R143" s="4">
        <v>1.7669999999999999E-3</v>
      </c>
      <c r="S143" s="4">
        <v>1.2019999999999999E-3</v>
      </c>
      <c r="T143" s="4">
        <v>1.71</v>
      </c>
    </row>
    <row r="144" spans="1:30" hidden="1" outlineLevel="1" collapsed="1" x14ac:dyDescent="0.2">
      <c r="A144" t="s">
        <v>34</v>
      </c>
      <c r="B144" s="4" t="s">
        <v>30</v>
      </c>
      <c r="C144" s="4" t="s">
        <v>355</v>
      </c>
      <c r="D144" s="4" t="s">
        <v>34</v>
      </c>
      <c r="E144" s="4">
        <v>2.1589299999999999E-3</v>
      </c>
      <c r="F144" s="4">
        <v>3.7876699999999999E-3</v>
      </c>
      <c r="G144" s="4">
        <v>1</v>
      </c>
      <c r="H144" s="4">
        <v>2</v>
      </c>
      <c r="I144" s="4">
        <v>1</v>
      </c>
      <c r="J144" s="4">
        <v>5</v>
      </c>
      <c r="K144" s="4" t="s">
        <v>334</v>
      </c>
      <c r="L144" s="4" t="s">
        <v>356</v>
      </c>
      <c r="M144" s="4" t="s">
        <v>34</v>
      </c>
      <c r="N144" s="4">
        <v>0</v>
      </c>
      <c r="O144" s="4">
        <v>1791.7277099999999</v>
      </c>
      <c r="P144" s="4" t="s">
        <v>30</v>
      </c>
      <c r="Q144" s="4" t="s">
        <v>30</v>
      </c>
      <c r="R144" s="4">
        <v>1.7669999999999999E-3</v>
      </c>
      <c r="S144" s="4">
        <v>6.399E-4</v>
      </c>
      <c r="T144" s="4">
        <v>1.8</v>
      </c>
    </row>
    <row r="145" spans="1:20" hidden="1" outlineLevel="1" collapsed="1" x14ac:dyDescent="0.2">
      <c r="A145" t="s">
        <v>34</v>
      </c>
      <c r="B145" s="4" t="s">
        <v>30</v>
      </c>
      <c r="C145" s="4" t="s">
        <v>290</v>
      </c>
      <c r="D145" s="4" t="s">
        <v>34</v>
      </c>
      <c r="E145" s="4">
        <v>6.4436499999999994E-2</v>
      </c>
      <c r="F145" s="4">
        <v>3.7876699999999999E-3</v>
      </c>
      <c r="G145" s="4">
        <v>6</v>
      </c>
      <c r="H145" s="4">
        <v>14</v>
      </c>
      <c r="I145" s="4">
        <v>1</v>
      </c>
      <c r="J145" s="4">
        <v>6</v>
      </c>
      <c r="K145" s="4" t="s">
        <v>291</v>
      </c>
      <c r="L145" s="4" t="s">
        <v>292</v>
      </c>
      <c r="M145" s="4" t="s">
        <v>34</v>
      </c>
      <c r="N145" s="4">
        <v>0</v>
      </c>
      <c r="O145" s="4">
        <v>809.44034999999997</v>
      </c>
      <c r="P145" s="4" t="s">
        <v>30</v>
      </c>
      <c r="Q145" s="4" t="s">
        <v>30</v>
      </c>
      <c r="R145" s="4">
        <v>1.7669999999999999E-3</v>
      </c>
      <c r="S145" s="4">
        <v>2.8740000000000002E-2</v>
      </c>
      <c r="T145" s="4">
        <v>1.0900000000000001</v>
      </c>
    </row>
    <row r="146" spans="1:20" hidden="1" outlineLevel="1" collapsed="1" x14ac:dyDescent="0.2">
      <c r="A146" t="s">
        <v>34</v>
      </c>
      <c r="B146" s="4" t="s">
        <v>30</v>
      </c>
      <c r="C146" s="4" t="s">
        <v>357</v>
      </c>
      <c r="D146" s="4" t="s">
        <v>358</v>
      </c>
      <c r="E146" s="4">
        <v>5.9729499999999998E-2</v>
      </c>
      <c r="F146" s="4">
        <v>3.7876699999999999E-3</v>
      </c>
      <c r="G146" s="4">
        <v>1</v>
      </c>
      <c r="H146" s="4">
        <v>2</v>
      </c>
      <c r="I146" s="4">
        <v>1</v>
      </c>
      <c r="J146" s="4">
        <v>4</v>
      </c>
      <c r="K146" s="4" t="s">
        <v>334</v>
      </c>
      <c r="L146" s="4" t="s">
        <v>359</v>
      </c>
      <c r="M146" s="4" t="s">
        <v>34</v>
      </c>
      <c r="N146" s="4">
        <v>1</v>
      </c>
      <c r="O146" s="4">
        <v>1323.67255</v>
      </c>
      <c r="P146" s="4" t="s">
        <v>30</v>
      </c>
      <c r="Q146" s="4" t="s">
        <v>30</v>
      </c>
      <c r="R146" s="4">
        <v>1.7669999999999999E-3</v>
      </c>
      <c r="S146" s="4">
        <v>2.6329999999999999E-2</v>
      </c>
      <c r="T146" s="4">
        <v>2.85</v>
      </c>
    </row>
    <row r="147" spans="1:20" hidden="1" outlineLevel="1" collapsed="1" x14ac:dyDescent="0.2">
      <c r="A147" t="s">
        <v>34</v>
      </c>
      <c r="B147" s="4" t="s">
        <v>30</v>
      </c>
      <c r="C147" s="4" t="s">
        <v>360</v>
      </c>
      <c r="D147" s="4" t="s">
        <v>34</v>
      </c>
      <c r="E147" s="4">
        <v>7.56632E-2</v>
      </c>
      <c r="F147" s="4">
        <v>3.7876699999999999E-3</v>
      </c>
      <c r="G147" s="4">
        <v>1</v>
      </c>
      <c r="H147" s="4">
        <v>2</v>
      </c>
      <c r="I147" s="4">
        <v>1</v>
      </c>
      <c r="J147" s="4">
        <v>3</v>
      </c>
      <c r="K147" s="4" t="s">
        <v>334</v>
      </c>
      <c r="L147" s="4" t="s">
        <v>361</v>
      </c>
      <c r="M147" s="4" t="s">
        <v>34</v>
      </c>
      <c r="N147" s="4">
        <v>0</v>
      </c>
      <c r="O147" s="4">
        <v>967.45196999999996</v>
      </c>
      <c r="P147" s="4" t="s">
        <v>30</v>
      </c>
      <c r="Q147" s="4" t="s">
        <v>30</v>
      </c>
      <c r="R147" s="4">
        <v>1.7669999999999999E-3</v>
      </c>
      <c r="S147" s="4">
        <v>3.4639999999999997E-2</v>
      </c>
      <c r="T147" s="4">
        <v>1.46</v>
      </c>
    </row>
    <row r="148" spans="1:20" hidden="1" outlineLevel="1" collapsed="1" x14ac:dyDescent="0.2">
      <c r="A148" t="s">
        <v>34</v>
      </c>
      <c r="B148" s="4" t="s">
        <v>30</v>
      </c>
      <c r="C148" s="4" t="s">
        <v>362</v>
      </c>
      <c r="D148" s="4" t="s">
        <v>34</v>
      </c>
      <c r="E148" s="4">
        <v>0.12578</v>
      </c>
      <c r="F148" s="4">
        <v>3.7876699999999999E-3</v>
      </c>
      <c r="G148" s="4">
        <v>1</v>
      </c>
      <c r="H148" s="4">
        <v>2</v>
      </c>
      <c r="I148" s="4">
        <v>1</v>
      </c>
      <c r="J148" s="4">
        <v>1</v>
      </c>
      <c r="K148" s="4" t="s">
        <v>334</v>
      </c>
      <c r="L148" s="4" t="s">
        <v>363</v>
      </c>
      <c r="M148" s="4" t="s">
        <v>34</v>
      </c>
      <c r="N148" s="4">
        <v>1</v>
      </c>
      <c r="O148" s="4">
        <v>1095.5469399999999</v>
      </c>
      <c r="P148" s="4" t="s">
        <v>30</v>
      </c>
      <c r="Q148" s="4" t="s">
        <v>30</v>
      </c>
      <c r="R148" s="4">
        <v>1.7669999999999999E-3</v>
      </c>
      <c r="S148" s="4">
        <v>6.1760000000000002E-2</v>
      </c>
      <c r="T148" s="4">
        <v>1.27</v>
      </c>
    </row>
    <row r="149" spans="1:20" hidden="1" outlineLevel="1" collapsed="1" x14ac:dyDescent="0.2">
      <c r="A149" t="s">
        <v>34</v>
      </c>
      <c r="B149" s="4" t="s">
        <v>30</v>
      </c>
      <c r="C149" s="4" t="s">
        <v>364</v>
      </c>
      <c r="D149" s="4" t="s">
        <v>34</v>
      </c>
      <c r="E149" s="4">
        <v>0.124057</v>
      </c>
      <c r="F149" s="4">
        <v>3.7876699999999999E-3</v>
      </c>
      <c r="G149" s="4">
        <v>1</v>
      </c>
      <c r="H149" s="4">
        <v>2</v>
      </c>
      <c r="I149" s="4">
        <v>1</v>
      </c>
      <c r="J149" s="4">
        <v>2</v>
      </c>
      <c r="K149" s="4" t="s">
        <v>334</v>
      </c>
      <c r="L149" s="4" t="s">
        <v>365</v>
      </c>
      <c r="M149" s="4" t="s">
        <v>34</v>
      </c>
      <c r="N149" s="4">
        <v>0</v>
      </c>
      <c r="O149" s="4">
        <v>897.41348000000005</v>
      </c>
      <c r="P149" s="4" t="s">
        <v>30</v>
      </c>
      <c r="Q149" s="4" t="s">
        <v>30</v>
      </c>
      <c r="R149" s="4">
        <v>1.7669999999999999E-3</v>
      </c>
      <c r="S149" s="4">
        <v>6.0970000000000003E-2</v>
      </c>
      <c r="T149" s="4">
        <v>1.48</v>
      </c>
    </row>
    <row r="150" spans="1:20" hidden="1" outlineLevel="1" collapsed="1" x14ac:dyDescent="0.2">
      <c r="A150" t="s">
        <v>34</v>
      </c>
      <c r="B150" s="4" t="s">
        <v>30</v>
      </c>
      <c r="C150" s="4" t="s">
        <v>364</v>
      </c>
      <c r="D150" s="4" t="s">
        <v>177</v>
      </c>
      <c r="E150" s="4">
        <v>4.0393900000000003E-2</v>
      </c>
      <c r="F150" s="4">
        <v>3.7876699999999999E-3</v>
      </c>
      <c r="G150" s="4">
        <v>1</v>
      </c>
      <c r="H150" s="4">
        <v>2</v>
      </c>
      <c r="I150" s="4">
        <v>1</v>
      </c>
      <c r="J150" s="4">
        <v>18</v>
      </c>
      <c r="K150" s="4" t="s">
        <v>334</v>
      </c>
      <c r="L150" s="4" t="s">
        <v>365</v>
      </c>
      <c r="M150" s="4" t="s">
        <v>34</v>
      </c>
      <c r="N150" s="4">
        <v>0</v>
      </c>
      <c r="O150" s="4">
        <v>913.40839000000005</v>
      </c>
      <c r="P150" s="4" t="s">
        <v>30</v>
      </c>
      <c r="Q150" s="4" t="s">
        <v>30</v>
      </c>
      <c r="R150" s="4">
        <v>1.7669999999999999E-3</v>
      </c>
      <c r="S150" s="4">
        <v>1.6990000000000002E-2</v>
      </c>
      <c r="T150" s="4">
        <v>1.54</v>
      </c>
    </row>
    <row r="151" spans="1:20" hidden="1" outlineLevel="1" collapsed="1" x14ac:dyDescent="0.2">
      <c r="A151" t="s">
        <v>34</v>
      </c>
      <c r="B151" s="4" t="s">
        <v>30</v>
      </c>
      <c r="C151" s="4" t="s">
        <v>366</v>
      </c>
      <c r="D151" s="4" t="s">
        <v>34</v>
      </c>
      <c r="E151" s="4">
        <v>9.9930899999999996E-3</v>
      </c>
      <c r="F151" s="4">
        <v>3.7876699999999999E-3</v>
      </c>
      <c r="G151" s="4">
        <v>1</v>
      </c>
      <c r="H151" s="4">
        <v>2</v>
      </c>
      <c r="I151" s="4">
        <v>1</v>
      </c>
      <c r="J151" s="4">
        <v>2</v>
      </c>
      <c r="K151" s="4" t="s">
        <v>334</v>
      </c>
      <c r="L151" s="4" t="s">
        <v>367</v>
      </c>
      <c r="M151" s="4" t="s">
        <v>34</v>
      </c>
      <c r="N151" s="4">
        <v>0</v>
      </c>
      <c r="O151" s="4">
        <v>1121.5837200000001</v>
      </c>
      <c r="P151" s="4" t="s">
        <v>30</v>
      </c>
      <c r="Q151" s="4" t="s">
        <v>30</v>
      </c>
      <c r="R151" s="4">
        <v>1.7669999999999999E-3</v>
      </c>
      <c r="S151" s="4">
        <v>3.5569999999999998E-3</v>
      </c>
      <c r="T151" s="4">
        <v>2.89</v>
      </c>
    </row>
    <row r="152" spans="1:20" hidden="1" outlineLevel="1" collapsed="1" x14ac:dyDescent="0.2">
      <c r="A152" t="s">
        <v>34</v>
      </c>
      <c r="B152" s="4" t="s">
        <v>30</v>
      </c>
      <c r="C152" s="4" t="s">
        <v>368</v>
      </c>
      <c r="D152" s="4" t="s">
        <v>34</v>
      </c>
      <c r="E152" s="4">
        <v>1.13358E-2</v>
      </c>
      <c r="F152" s="4">
        <v>3.7876699999999999E-3</v>
      </c>
      <c r="G152" s="4">
        <v>1</v>
      </c>
      <c r="H152" s="4">
        <v>2</v>
      </c>
      <c r="I152" s="4">
        <v>1</v>
      </c>
      <c r="J152" s="4">
        <v>3</v>
      </c>
      <c r="K152" s="4" t="s">
        <v>334</v>
      </c>
      <c r="L152" s="4" t="s">
        <v>369</v>
      </c>
      <c r="M152" s="4" t="s">
        <v>34</v>
      </c>
      <c r="N152" s="4">
        <v>0</v>
      </c>
      <c r="O152" s="4">
        <v>1074.52145</v>
      </c>
      <c r="P152" s="4" t="s">
        <v>30</v>
      </c>
      <c r="Q152" s="4" t="s">
        <v>30</v>
      </c>
      <c r="R152" s="4">
        <v>1.7669999999999999E-3</v>
      </c>
      <c r="S152" s="4">
        <v>4.0810000000000004E-3</v>
      </c>
      <c r="T152" s="4">
        <v>1.43</v>
      </c>
    </row>
    <row r="153" spans="1:20" hidden="1" outlineLevel="1" collapsed="1" x14ac:dyDescent="0.2">
      <c r="A153" t="s">
        <v>34</v>
      </c>
      <c r="B153" s="4" t="s">
        <v>30</v>
      </c>
      <c r="C153" s="4" t="s">
        <v>370</v>
      </c>
      <c r="D153" s="4" t="s">
        <v>34</v>
      </c>
      <c r="E153" s="4">
        <v>1.0695E-2</v>
      </c>
      <c r="F153" s="4">
        <v>3.7876699999999999E-3</v>
      </c>
      <c r="G153" s="4">
        <v>1</v>
      </c>
      <c r="H153" s="4">
        <v>2</v>
      </c>
      <c r="I153" s="4">
        <v>1</v>
      </c>
      <c r="J153" s="4">
        <v>4</v>
      </c>
      <c r="K153" s="4" t="s">
        <v>334</v>
      </c>
      <c r="L153" s="4" t="s">
        <v>371</v>
      </c>
      <c r="M153" s="4" t="s">
        <v>34</v>
      </c>
      <c r="N153" s="4">
        <v>0</v>
      </c>
      <c r="O153" s="4">
        <v>1157.5909300000001</v>
      </c>
      <c r="P153" s="4" t="s">
        <v>30</v>
      </c>
      <c r="Q153" s="4" t="s">
        <v>30</v>
      </c>
      <c r="R153" s="4">
        <v>1.7669999999999999E-3</v>
      </c>
      <c r="S153" s="4">
        <v>3.8370000000000001E-3</v>
      </c>
      <c r="T153" s="4">
        <v>2.76</v>
      </c>
    </row>
    <row r="154" spans="1:20" hidden="1" outlineLevel="1" collapsed="1" x14ac:dyDescent="0.2">
      <c r="A154" t="s">
        <v>34</v>
      </c>
      <c r="B154" s="4" t="s">
        <v>30</v>
      </c>
      <c r="C154" s="4" t="s">
        <v>372</v>
      </c>
      <c r="D154" s="4" t="s">
        <v>34</v>
      </c>
      <c r="E154" s="4">
        <v>3.02768E-2</v>
      </c>
      <c r="F154" s="4">
        <v>3.7876699999999999E-3</v>
      </c>
      <c r="G154" s="4">
        <v>1</v>
      </c>
      <c r="H154" s="4">
        <v>2</v>
      </c>
      <c r="I154" s="4">
        <v>1</v>
      </c>
      <c r="J154" s="4">
        <v>1</v>
      </c>
      <c r="K154" s="4" t="s">
        <v>334</v>
      </c>
      <c r="L154" s="4" t="s">
        <v>373</v>
      </c>
      <c r="M154" s="4" t="s">
        <v>34</v>
      </c>
      <c r="N154" s="4">
        <v>0</v>
      </c>
      <c r="O154" s="4">
        <v>1190.6085499999999</v>
      </c>
      <c r="P154" s="4" t="s">
        <v>30</v>
      </c>
      <c r="Q154" s="4" t="s">
        <v>30</v>
      </c>
      <c r="R154" s="4">
        <v>1.7669999999999999E-3</v>
      </c>
      <c r="S154" s="4">
        <v>1.227E-2</v>
      </c>
      <c r="T154" s="4">
        <v>1.82</v>
      </c>
    </row>
    <row r="155" spans="1:20" hidden="1" outlineLevel="1" collapsed="1" x14ac:dyDescent="0.2">
      <c r="A155" t="s">
        <v>34</v>
      </c>
      <c r="B155" s="4" t="s">
        <v>30</v>
      </c>
      <c r="C155" s="4" t="s">
        <v>372</v>
      </c>
      <c r="D155" s="4" t="s">
        <v>374</v>
      </c>
      <c r="E155" s="4">
        <v>1.26733E-2</v>
      </c>
      <c r="F155" s="4">
        <v>3.7876699999999999E-3</v>
      </c>
      <c r="G155" s="4">
        <v>1</v>
      </c>
      <c r="H155" s="4">
        <v>2</v>
      </c>
      <c r="I155" s="4">
        <v>1</v>
      </c>
      <c r="J155" s="4">
        <v>13</v>
      </c>
      <c r="K155" s="4" t="s">
        <v>334</v>
      </c>
      <c r="L155" s="4" t="s">
        <v>373</v>
      </c>
      <c r="M155" s="4" t="s">
        <v>34</v>
      </c>
      <c r="N155" s="4">
        <v>0</v>
      </c>
      <c r="O155" s="4">
        <v>1206.60346</v>
      </c>
      <c r="P155" s="4" t="s">
        <v>30</v>
      </c>
      <c r="Q155" s="4" t="s">
        <v>30</v>
      </c>
      <c r="R155" s="4">
        <v>1.7669999999999999E-3</v>
      </c>
      <c r="S155" s="4">
        <v>4.62E-3</v>
      </c>
      <c r="T155" s="4">
        <v>2.04</v>
      </c>
    </row>
    <row r="156" spans="1:20" hidden="1" outlineLevel="1" collapsed="1" x14ac:dyDescent="0.2">
      <c r="A156" t="s">
        <v>34</v>
      </c>
      <c r="B156" s="4" t="s">
        <v>30</v>
      </c>
      <c r="C156" s="4" t="s">
        <v>375</v>
      </c>
      <c r="D156" s="4" t="s">
        <v>34</v>
      </c>
      <c r="E156" s="4">
        <v>6.2928200000000004E-2</v>
      </c>
      <c r="F156" s="4">
        <v>3.7876699999999999E-3</v>
      </c>
      <c r="G156" s="4">
        <v>1</v>
      </c>
      <c r="H156" s="4">
        <v>2</v>
      </c>
      <c r="I156" s="4">
        <v>1</v>
      </c>
      <c r="J156" s="4">
        <v>2</v>
      </c>
      <c r="K156" s="4" t="s">
        <v>334</v>
      </c>
      <c r="L156" s="4" t="s">
        <v>376</v>
      </c>
      <c r="M156" s="4" t="s">
        <v>34</v>
      </c>
      <c r="N156" s="4">
        <v>0</v>
      </c>
      <c r="O156" s="4">
        <v>1232.5978</v>
      </c>
      <c r="P156" s="4" t="s">
        <v>30</v>
      </c>
      <c r="Q156" s="4" t="s">
        <v>30</v>
      </c>
      <c r="R156" s="4">
        <v>1.7669999999999999E-3</v>
      </c>
      <c r="S156" s="4">
        <v>2.7949999999999999E-2</v>
      </c>
      <c r="T156" s="4">
        <v>1.83</v>
      </c>
    </row>
    <row r="157" spans="1:20" hidden="1" outlineLevel="1" collapsed="1" x14ac:dyDescent="0.2">
      <c r="A157" t="s">
        <v>34</v>
      </c>
      <c r="B157" s="4" t="s">
        <v>30</v>
      </c>
      <c r="C157" s="4" t="s">
        <v>377</v>
      </c>
      <c r="D157" s="4" t="s">
        <v>34</v>
      </c>
      <c r="E157" s="4">
        <v>0.10118099999999999</v>
      </c>
      <c r="F157" s="4">
        <v>3.7876699999999999E-3</v>
      </c>
      <c r="G157" s="4">
        <v>1</v>
      </c>
      <c r="H157" s="4">
        <v>2</v>
      </c>
      <c r="I157" s="4">
        <v>1</v>
      </c>
      <c r="J157" s="4">
        <v>4</v>
      </c>
      <c r="K157" s="4" t="s">
        <v>334</v>
      </c>
      <c r="L157" s="4" t="s">
        <v>378</v>
      </c>
      <c r="M157" s="4" t="s">
        <v>34</v>
      </c>
      <c r="N157" s="4">
        <v>0</v>
      </c>
      <c r="O157" s="4">
        <v>1065.4993300000001</v>
      </c>
      <c r="P157" s="4" t="s">
        <v>30</v>
      </c>
      <c r="Q157" s="4" t="s">
        <v>30</v>
      </c>
      <c r="R157" s="4">
        <v>1.7669999999999999E-3</v>
      </c>
      <c r="S157" s="4">
        <v>4.8140000000000002E-2</v>
      </c>
      <c r="T157" s="4">
        <v>1.6</v>
      </c>
    </row>
    <row r="158" spans="1:20" hidden="1" outlineLevel="1" collapsed="1" x14ac:dyDescent="0.2">
      <c r="A158" t="s">
        <v>34</v>
      </c>
      <c r="B158" s="4" t="s">
        <v>30</v>
      </c>
      <c r="C158" s="4" t="s">
        <v>377</v>
      </c>
      <c r="D158" s="4" t="s">
        <v>331</v>
      </c>
      <c r="E158" s="4">
        <v>0.10849300000000001</v>
      </c>
      <c r="F158" s="4">
        <v>3.7876699999999999E-3</v>
      </c>
      <c r="G158" s="4">
        <v>1</v>
      </c>
      <c r="H158" s="4">
        <v>2</v>
      </c>
      <c r="I158" s="4">
        <v>1</v>
      </c>
      <c r="J158" s="4">
        <v>5</v>
      </c>
      <c r="K158" s="4" t="s">
        <v>334</v>
      </c>
      <c r="L158" s="4" t="s">
        <v>378</v>
      </c>
      <c r="M158" s="4" t="s">
        <v>34</v>
      </c>
      <c r="N158" s="4">
        <v>0</v>
      </c>
      <c r="O158" s="4">
        <v>1081.49425</v>
      </c>
      <c r="P158" s="4" t="s">
        <v>30</v>
      </c>
      <c r="Q158" s="4" t="s">
        <v>30</v>
      </c>
      <c r="R158" s="4">
        <v>1.7669999999999999E-3</v>
      </c>
      <c r="S158" s="4">
        <v>5.2170000000000001E-2</v>
      </c>
      <c r="T158" s="4">
        <v>0.67</v>
      </c>
    </row>
    <row r="159" spans="1:20" hidden="1" outlineLevel="1" collapsed="1" x14ac:dyDescent="0.2">
      <c r="A159" t="s">
        <v>34</v>
      </c>
      <c r="B159" s="4" t="s">
        <v>30</v>
      </c>
      <c r="C159" s="4" t="s">
        <v>379</v>
      </c>
      <c r="D159" s="4" t="s">
        <v>34</v>
      </c>
      <c r="E159" s="4">
        <v>8.5983899999999992E-3</v>
      </c>
      <c r="F159" s="4">
        <v>3.7876699999999999E-3</v>
      </c>
      <c r="G159" s="4">
        <v>1</v>
      </c>
      <c r="H159" s="4">
        <v>2</v>
      </c>
      <c r="I159" s="4">
        <v>1</v>
      </c>
      <c r="J159" s="4">
        <v>2</v>
      </c>
      <c r="K159" s="4" t="s">
        <v>334</v>
      </c>
      <c r="L159" s="4" t="s">
        <v>380</v>
      </c>
      <c r="M159" s="4" t="s">
        <v>34</v>
      </c>
      <c r="N159" s="4">
        <v>0</v>
      </c>
      <c r="O159" s="4">
        <v>1060.56331</v>
      </c>
      <c r="P159" s="4" t="s">
        <v>30</v>
      </c>
      <c r="Q159" s="4" t="s">
        <v>30</v>
      </c>
      <c r="R159" s="4">
        <v>1.7669999999999999E-3</v>
      </c>
      <c r="S159" s="4">
        <v>2.9979999999999998E-3</v>
      </c>
      <c r="T159" s="4">
        <v>1.88</v>
      </c>
    </row>
    <row r="160" spans="1:20" hidden="1" outlineLevel="1" collapsed="1" x14ac:dyDescent="0.2">
      <c r="A160" t="s">
        <v>34</v>
      </c>
      <c r="B160" s="4" t="s">
        <v>30</v>
      </c>
      <c r="C160" s="4" t="s">
        <v>381</v>
      </c>
      <c r="D160" s="4" t="s">
        <v>34</v>
      </c>
      <c r="E160" s="4">
        <v>5.2398699999999996E-4</v>
      </c>
      <c r="F160" s="4">
        <v>3.7876699999999999E-3</v>
      </c>
      <c r="G160" s="4">
        <v>1</v>
      </c>
      <c r="H160" s="4">
        <v>2</v>
      </c>
      <c r="I160" s="4">
        <v>1</v>
      </c>
      <c r="J160" s="4">
        <v>6</v>
      </c>
      <c r="K160" s="4" t="s">
        <v>334</v>
      </c>
      <c r="L160" s="4" t="s">
        <v>382</v>
      </c>
      <c r="M160" s="4" t="s">
        <v>34</v>
      </c>
      <c r="N160" s="4">
        <v>0</v>
      </c>
      <c r="O160" s="4">
        <v>1586.76566</v>
      </c>
      <c r="P160" s="4" t="s">
        <v>30</v>
      </c>
      <c r="Q160" s="4" t="s">
        <v>30</v>
      </c>
      <c r="R160" s="4">
        <v>1.7669999999999999E-3</v>
      </c>
      <c r="S160" s="4">
        <v>1.3200000000000001E-4</v>
      </c>
      <c r="T160" s="4">
        <v>3.09</v>
      </c>
    </row>
    <row r="161" spans="1:30" collapsed="1" x14ac:dyDescent="0.2">
      <c r="A161" s="3" t="s">
        <v>30</v>
      </c>
      <c r="B161" s="3" t="s">
        <v>31</v>
      </c>
      <c r="C161" s="3" t="s">
        <v>383</v>
      </c>
      <c r="D161" s="3" t="s">
        <v>384</v>
      </c>
      <c r="E161" s="3">
        <v>0</v>
      </c>
      <c r="F161" s="3">
        <v>43.857999999999997</v>
      </c>
      <c r="G161" s="3">
        <v>44</v>
      </c>
      <c r="H161" s="3">
        <v>20</v>
      </c>
      <c r="I161" s="3">
        <v>21</v>
      </c>
      <c r="J161" s="3">
        <v>69</v>
      </c>
      <c r="K161" s="3">
        <v>6</v>
      </c>
      <c r="L161" s="3">
        <v>471</v>
      </c>
      <c r="M161" s="3">
        <v>51.5</v>
      </c>
      <c r="N161" s="3">
        <v>5.16</v>
      </c>
      <c r="O161" s="3">
        <v>70.010000000000005</v>
      </c>
      <c r="P161" s="3">
        <v>20</v>
      </c>
      <c r="Q161" s="3" t="s">
        <v>34</v>
      </c>
      <c r="R161" s="3" t="s">
        <v>34</v>
      </c>
      <c r="S161" s="3" t="s">
        <v>34</v>
      </c>
      <c r="T161" s="3" t="s">
        <v>34</v>
      </c>
      <c r="U161" s="3" t="s">
        <v>34</v>
      </c>
      <c r="V161" s="3" t="s">
        <v>383</v>
      </c>
      <c r="W161" s="3" t="s">
        <v>34</v>
      </c>
      <c r="X161" s="3" t="s">
        <v>34</v>
      </c>
      <c r="Y161" s="3" t="s">
        <v>34</v>
      </c>
      <c r="Z161" s="3" t="s">
        <v>34</v>
      </c>
      <c r="AA161" s="3">
        <v>0</v>
      </c>
      <c r="AB161" s="3" t="s">
        <v>30</v>
      </c>
      <c r="AC161" s="3">
        <v>1</v>
      </c>
      <c r="AD161" s="3" t="s">
        <v>34</v>
      </c>
    </row>
    <row r="162" spans="1:30" hidden="1" outlineLevel="1" collapsed="1" x14ac:dyDescent="0.2">
      <c r="A162" t="s">
        <v>34</v>
      </c>
      <c r="B162" s="2" t="s">
        <v>36</v>
      </c>
      <c r="C162" s="2" t="s">
        <v>37</v>
      </c>
      <c r="D162" s="2" t="s">
        <v>29</v>
      </c>
      <c r="E162" s="2" t="s">
        <v>38</v>
      </c>
      <c r="F162" s="2" t="s">
        <v>39</v>
      </c>
      <c r="G162" s="2" t="s">
        <v>28</v>
      </c>
      <c r="H162" s="2" t="s">
        <v>40</v>
      </c>
      <c r="I162" s="2" t="s">
        <v>8</v>
      </c>
      <c r="J162" s="2" t="s">
        <v>9</v>
      </c>
      <c r="K162" s="2" t="s">
        <v>41</v>
      </c>
      <c r="L162" s="2" t="s">
        <v>42</v>
      </c>
      <c r="M162" s="2" t="s">
        <v>43</v>
      </c>
      <c r="N162" s="2" t="s">
        <v>44</v>
      </c>
      <c r="O162" s="2" t="s">
        <v>45</v>
      </c>
      <c r="P162" s="2" t="s">
        <v>27</v>
      </c>
      <c r="Q162" s="2" t="s">
        <v>46</v>
      </c>
      <c r="R162" s="2" t="s">
        <v>47</v>
      </c>
      <c r="S162" s="2" t="s">
        <v>48</v>
      </c>
      <c r="T162" s="2" t="s">
        <v>49</v>
      </c>
    </row>
    <row r="163" spans="1:30" hidden="1" outlineLevel="1" collapsed="1" x14ac:dyDescent="0.2">
      <c r="A163" t="s">
        <v>34</v>
      </c>
      <c r="B163" s="4" t="s">
        <v>30</v>
      </c>
      <c r="C163" s="4" t="s">
        <v>385</v>
      </c>
      <c r="D163" s="4" t="s">
        <v>34</v>
      </c>
      <c r="E163" s="4">
        <v>1.18415E-2</v>
      </c>
      <c r="F163" s="4">
        <v>3.7876699999999999E-3</v>
      </c>
      <c r="G163" s="4">
        <v>4</v>
      </c>
      <c r="H163" s="4">
        <v>7</v>
      </c>
      <c r="I163" s="4">
        <v>1</v>
      </c>
      <c r="J163" s="4">
        <v>4</v>
      </c>
      <c r="K163" s="4" t="s">
        <v>386</v>
      </c>
      <c r="L163" s="4" t="s">
        <v>387</v>
      </c>
      <c r="M163" s="4" t="s">
        <v>34</v>
      </c>
      <c r="N163" s="4">
        <v>0</v>
      </c>
      <c r="O163" s="4">
        <v>1301.65834</v>
      </c>
      <c r="P163" s="4" t="s">
        <v>30</v>
      </c>
      <c r="Q163" s="4" t="s">
        <v>30</v>
      </c>
      <c r="R163" s="4">
        <v>1.7669999999999999E-3</v>
      </c>
      <c r="S163" s="4">
        <v>4.2839999999999996E-3</v>
      </c>
      <c r="T163" s="4">
        <v>2.48</v>
      </c>
    </row>
    <row r="164" spans="1:30" hidden="1" outlineLevel="1" collapsed="1" x14ac:dyDescent="0.2">
      <c r="A164" t="s">
        <v>34</v>
      </c>
      <c r="B164" s="4" t="s">
        <v>30</v>
      </c>
      <c r="C164" s="4" t="s">
        <v>388</v>
      </c>
      <c r="D164" s="4" t="s">
        <v>34</v>
      </c>
      <c r="E164" s="4">
        <v>1.9689199999999999E-3</v>
      </c>
      <c r="F164" s="4">
        <v>3.7876699999999999E-3</v>
      </c>
      <c r="G164" s="4">
        <v>1</v>
      </c>
      <c r="H164" s="4">
        <v>1</v>
      </c>
      <c r="I164" s="4">
        <v>1</v>
      </c>
      <c r="J164" s="4">
        <v>3</v>
      </c>
      <c r="K164" s="4" t="s">
        <v>383</v>
      </c>
      <c r="L164" s="4" t="s">
        <v>389</v>
      </c>
      <c r="M164" s="4" t="s">
        <v>34</v>
      </c>
      <c r="N164" s="4">
        <v>0</v>
      </c>
      <c r="O164" s="4">
        <v>1425.69685</v>
      </c>
      <c r="P164" s="4" t="s">
        <v>30</v>
      </c>
      <c r="Q164" s="4" t="s">
        <v>30</v>
      </c>
      <c r="R164" s="4">
        <v>1.7669999999999999E-3</v>
      </c>
      <c r="S164" s="4">
        <v>5.7850000000000002E-4</v>
      </c>
      <c r="T164" s="4">
        <v>2.93</v>
      </c>
    </row>
    <row r="165" spans="1:30" hidden="1" outlineLevel="1" collapsed="1" x14ac:dyDescent="0.2">
      <c r="A165" t="s">
        <v>34</v>
      </c>
      <c r="B165" s="4" t="s">
        <v>30</v>
      </c>
      <c r="C165" s="4" t="s">
        <v>390</v>
      </c>
      <c r="D165" s="4" t="s">
        <v>34</v>
      </c>
      <c r="E165" s="4">
        <v>4.6674100000000003E-3</v>
      </c>
      <c r="F165" s="4">
        <v>3.7876699999999999E-3</v>
      </c>
      <c r="G165" s="4">
        <v>2</v>
      </c>
      <c r="H165" s="4">
        <v>2</v>
      </c>
      <c r="I165" s="4">
        <v>1</v>
      </c>
      <c r="J165" s="4">
        <v>3</v>
      </c>
      <c r="K165" s="4" t="s">
        <v>391</v>
      </c>
      <c r="L165" s="4" t="s">
        <v>392</v>
      </c>
      <c r="M165" s="4" t="s">
        <v>34</v>
      </c>
      <c r="N165" s="4">
        <v>0</v>
      </c>
      <c r="O165" s="4">
        <v>1220.60049</v>
      </c>
      <c r="P165" s="4" t="s">
        <v>30</v>
      </c>
      <c r="Q165" s="4" t="s">
        <v>30</v>
      </c>
      <c r="R165" s="4">
        <v>1.7669999999999999E-3</v>
      </c>
      <c r="S165" s="4">
        <v>1.518E-3</v>
      </c>
      <c r="T165" s="4">
        <v>2.38</v>
      </c>
    </row>
    <row r="166" spans="1:30" hidden="1" outlineLevel="1" collapsed="1" x14ac:dyDescent="0.2">
      <c r="A166" t="s">
        <v>34</v>
      </c>
      <c r="B166" s="4" t="s">
        <v>30</v>
      </c>
      <c r="C166" s="4" t="s">
        <v>393</v>
      </c>
      <c r="D166" s="4" t="s">
        <v>34</v>
      </c>
      <c r="E166" s="4">
        <v>2.11807E-2</v>
      </c>
      <c r="F166" s="4">
        <v>3.7876699999999999E-3</v>
      </c>
      <c r="G166" s="4">
        <v>2</v>
      </c>
      <c r="H166" s="4">
        <v>2</v>
      </c>
      <c r="I166" s="4">
        <v>1</v>
      </c>
      <c r="J166" s="4">
        <v>3</v>
      </c>
      <c r="K166" s="4" t="s">
        <v>391</v>
      </c>
      <c r="L166" s="4" t="s">
        <v>394</v>
      </c>
      <c r="M166" s="4" t="s">
        <v>34</v>
      </c>
      <c r="N166" s="4">
        <v>1</v>
      </c>
      <c r="O166" s="4">
        <v>1433.72306</v>
      </c>
      <c r="P166" s="4" t="s">
        <v>30</v>
      </c>
      <c r="Q166" s="4" t="s">
        <v>30</v>
      </c>
      <c r="R166" s="4">
        <v>1.7669999999999999E-3</v>
      </c>
      <c r="S166" s="4">
        <v>8.2319999999999997E-3</v>
      </c>
      <c r="T166" s="4">
        <v>2.16</v>
      </c>
    </row>
    <row r="167" spans="1:30" hidden="1" outlineLevel="1" collapsed="1" x14ac:dyDescent="0.2">
      <c r="A167" t="s">
        <v>34</v>
      </c>
      <c r="B167" s="4" t="s">
        <v>30</v>
      </c>
      <c r="C167" s="4" t="s">
        <v>395</v>
      </c>
      <c r="D167" s="4" t="s">
        <v>396</v>
      </c>
      <c r="E167" s="4">
        <v>7.69098E-3</v>
      </c>
      <c r="F167" s="4">
        <v>3.7876699999999999E-3</v>
      </c>
      <c r="G167" s="4">
        <v>2</v>
      </c>
      <c r="H167" s="4">
        <v>2</v>
      </c>
      <c r="I167" s="4">
        <v>1</v>
      </c>
      <c r="J167" s="4">
        <v>2</v>
      </c>
      <c r="K167" s="4" t="s">
        <v>397</v>
      </c>
      <c r="L167" s="4" t="s">
        <v>398</v>
      </c>
      <c r="M167" s="4" t="s">
        <v>34</v>
      </c>
      <c r="N167" s="4">
        <v>0</v>
      </c>
      <c r="O167" s="4">
        <v>1502.58862</v>
      </c>
      <c r="P167" s="4" t="s">
        <v>30</v>
      </c>
      <c r="Q167" s="4" t="s">
        <v>30</v>
      </c>
      <c r="R167" s="4">
        <v>1.7669999999999999E-3</v>
      </c>
      <c r="S167" s="4">
        <v>2.6489999999999999E-3</v>
      </c>
      <c r="T167" s="4">
        <v>2.73</v>
      </c>
    </row>
    <row r="168" spans="1:30" hidden="1" outlineLevel="1" collapsed="1" x14ac:dyDescent="0.2">
      <c r="A168" t="s">
        <v>34</v>
      </c>
      <c r="B168" s="4" t="s">
        <v>30</v>
      </c>
      <c r="C168" s="4" t="s">
        <v>399</v>
      </c>
      <c r="D168" s="4" t="s">
        <v>34</v>
      </c>
      <c r="E168" s="4">
        <v>0.141015</v>
      </c>
      <c r="F168" s="4">
        <v>3.7876699999999999E-3</v>
      </c>
      <c r="G168" s="4">
        <v>1</v>
      </c>
      <c r="H168" s="4">
        <v>1</v>
      </c>
      <c r="I168" s="4">
        <v>1</v>
      </c>
      <c r="J168" s="4">
        <v>1</v>
      </c>
      <c r="K168" s="4" t="s">
        <v>383</v>
      </c>
      <c r="L168" s="4" t="s">
        <v>400</v>
      </c>
      <c r="M168" s="4" t="s">
        <v>34</v>
      </c>
      <c r="N168" s="4">
        <v>0</v>
      </c>
      <c r="O168" s="4">
        <v>1172.5258699999999</v>
      </c>
      <c r="P168" s="4" t="s">
        <v>30</v>
      </c>
      <c r="Q168" s="4" t="s">
        <v>30</v>
      </c>
      <c r="R168" s="4">
        <v>1.7669999999999999E-3</v>
      </c>
      <c r="S168" s="4">
        <v>7.0529999999999995E-2</v>
      </c>
      <c r="T168" s="4">
        <v>1.86</v>
      </c>
    </row>
    <row r="169" spans="1:30" hidden="1" outlineLevel="1" collapsed="1" x14ac:dyDescent="0.2">
      <c r="A169" t="s">
        <v>34</v>
      </c>
      <c r="B169" s="4" t="s">
        <v>30</v>
      </c>
      <c r="C169" s="4" t="s">
        <v>401</v>
      </c>
      <c r="D169" s="4" t="s">
        <v>34</v>
      </c>
      <c r="E169" s="4">
        <v>0.15299599999999999</v>
      </c>
      <c r="F169" s="4">
        <v>7.4059499999999997E-3</v>
      </c>
      <c r="G169" s="4">
        <v>2</v>
      </c>
      <c r="H169" s="4">
        <v>3</v>
      </c>
      <c r="I169" s="4">
        <v>1</v>
      </c>
      <c r="J169" s="4">
        <v>1</v>
      </c>
      <c r="K169" s="4" t="s">
        <v>391</v>
      </c>
      <c r="L169" s="4" t="s">
        <v>402</v>
      </c>
      <c r="M169" s="4" t="s">
        <v>34</v>
      </c>
      <c r="N169" s="4">
        <v>0</v>
      </c>
      <c r="O169" s="4">
        <v>919.41961000000003</v>
      </c>
      <c r="P169" s="4" t="s">
        <v>30</v>
      </c>
      <c r="Q169" s="4" t="s">
        <v>30</v>
      </c>
      <c r="R169" s="4">
        <v>3.356E-3</v>
      </c>
      <c r="S169" s="4">
        <v>7.7700000000000005E-2</v>
      </c>
      <c r="T169" s="4">
        <v>1.1599999999999999</v>
      </c>
    </row>
    <row r="170" spans="1:30" hidden="1" outlineLevel="1" collapsed="1" x14ac:dyDescent="0.2">
      <c r="A170" t="s">
        <v>34</v>
      </c>
      <c r="B170" s="4" t="s">
        <v>30</v>
      </c>
      <c r="C170" s="4" t="s">
        <v>403</v>
      </c>
      <c r="D170" s="4" t="s">
        <v>34</v>
      </c>
      <c r="E170" s="4">
        <v>7.7606300000000001E-4</v>
      </c>
      <c r="F170" s="4">
        <v>3.7876699999999999E-3</v>
      </c>
      <c r="G170" s="4">
        <v>2</v>
      </c>
      <c r="H170" s="4">
        <v>2</v>
      </c>
      <c r="I170" s="4">
        <v>1</v>
      </c>
      <c r="J170" s="4">
        <v>2</v>
      </c>
      <c r="K170" s="4" t="s">
        <v>397</v>
      </c>
      <c r="L170" s="4" t="s">
        <v>404</v>
      </c>
      <c r="M170" s="4" t="s">
        <v>34</v>
      </c>
      <c r="N170" s="4">
        <v>0</v>
      </c>
      <c r="O170" s="4">
        <v>1361.6907000000001</v>
      </c>
      <c r="P170" s="4" t="s">
        <v>30</v>
      </c>
      <c r="Q170" s="4" t="s">
        <v>30</v>
      </c>
      <c r="R170" s="4">
        <v>1.7669999999999999E-3</v>
      </c>
      <c r="S170" s="4">
        <v>2.0379999999999999E-4</v>
      </c>
      <c r="T170" s="4">
        <v>3.3</v>
      </c>
    </row>
    <row r="171" spans="1:30" hidden="1" outlineLevel="1" collapsed="1" x14ac:dyDescent="0.2">
      <c r="A171" t="s">
        <v>34</v>
      </c>
      <c r="B171" s="4" t="s">
        <v>30</v>
      </c>
      <c r="C171" s="4" t="s">
        <v>405</v>
      </c>
      <c r="D171" s="4" t="s">
        <v>137</v>
      </c>
      <c r="E171" s="4">
        <v>5.0195400000000003E-3</v>
      </c>
      <c r="F171" s="4">
        <v>3.7876699999999999E-3</v>
      </c>
      <c r="G171" s="4">
        <v>1</v>
      </c>
      <c r="H171" s="4">
        <v>1</v>
      </c>
      <c r="I171" s="4">
        <v>1</v>
      </c>
      <c r="J171" s="4">
        <v>2</v>
      </c>
      <c r="K171" s="4" t="s">
        <v>383</v>
      </c>
      <c r="L171" s="4" t="s">
        <v>406</v>
      </c>
      <c r="M171" s="4" t="s">
        <v>34</v>
      </c>
      <c r="N171" s="4">
        <v>0</v>
      </c>
      <c r="O171" s="4">
        <v>2101.9818700000001</v>
      </c>
      <c r="P171" s="4" t="s">
        <v>30</v>
      </c>
      <c r="Q171" s="4" t="s">
        <v>30</v>
      </c>
      <c r="R171" s="4">
        <v>1.7669999999999999E-3</v>
      </c>
      <c r="S171" s="4">
        <v>1.6479999999999999E-3</v>
      </c>
      <c r="T171" s="4">
        <v>3.72</v>
      </c>
    </row>
    <row r="172" spans="1:30" hidden="1" outlineLevel="1" collapsed="1" x14ac:dyDescent="0.2">
      <c r="A172" t="s">
        <v>34</v>
      </c>
      <c r="B172" s="4" t="s">
        <v>30</v>
      </c>
      <c r="C172" s="4" t="s">
        <v>287</v>
      </c>
      <c r="D172" s="4" t="s">
        <v>34</v>
      </c>
      <c r="E172" s="4">
        <v>3.83188E-2</v>
      </c>
      <c r="F172" s="4">
        <v>3.7876699999999999E-3</v>
      </c>
      <c r="G172" s="4">
        <v>7</v>
      </c>
      <c r="H172" s="4">
        <v>27</v>
      </c>
      <c r="I172" s="4">
        <v>1</v>
      </c>
      <c r="J172" s="4">
        <v>13</v>
      </c>
      <c r="K172" s="4" t="s">
        <v>288</v>
      </c>
      <c r="L172" s="4" t="s">
        <v>289</v>
      </c>
      <c r="M172" s="4" t="s">
        <v>34</v>
      </c>
      <c r="N172" s="4">
        <v>0</v>
      </c>
      <c r="O172" s="4">
        <v>807.39954</v>
      </c>
      <c r="P172" s="4" t="s">
        <v>30</v>
      </c>
      <c r="Q172" s="4" t="s">
        <v>30</v>
      </c>
      <c r="R172" s="4">
        <v>1.7669999999999999E-3</v>
      </c>
      <c r="S172" s="4">
        <v>1.5970000000000002E-2</v>
      </c>
      <c r="T172" s="4">
        <v>1.35</v>
      </c>
    </row>
    <row r="173" spans="1:30" hidden="1" outlineLevel="1" collapsed="1" x14ac:dyDescent="0.2">
      <c r="A173" t="s">
        <v>34</v>
      </c>
      <c r="B173" s="4" t="s">
        <v>30</v>
      </c>
      <c r="C173" s="4" t="s">
        <v>290</v>
      </c>
      <c r="D173" s="4" t="s">
        <v>34</v>
      </c>
      <c r="E173" s="4">
        <v>6.4436499999999994E-2</v>
      </c>
      <c r="F173" s="4">
        <v>3.7876699999999999E-3</v>
      </c>
      <c r="G173" s="4">
        <v>6</v>
      </c>
      <c r="H173" s="4">
        <v>14</v>
      </c>
      <c r="I173" s="4">
        <v>1</v>
      </c>
      <c r="J173" s="4">
        <v>6</v>
      </c>
      <c r="K173" s="4" t="s">
        <v>291</v>
      </c>
      <c r="L173" s="4" t="s">
        <v>292</v>
      </c>
      <c r="M173" s="4" t="s">
        <v>34</v>
      </c>
      <c r="N173" s="4">
        <v>0</v>
      </c>
      <c r="O173" s="4">
        <v>809.44034999999997</v>
      </c>
      <c r="P173" s="4" t="s">
        <v>30</v>
      </c>
      <c r="Q173" s="4" t="s">
        <v>30</v>
      </c>
      <c r="R173" s="4">
        <v>1.7669999999999999E-3</v>
      </c>
      <c r="S173" s="4">
        <v>2.8740000000000002E-2</v>
      </c>
      <c r="T173" s="4">
        <v>1.0900000000000001</v>
      </c>
    </row>
    <row r="174" spans="1:30" hidden="1" outlineLevel="1" collapsed="1" x14ac:dyDescent="0.2">
      <c r="A174" t="s">
        <v>34</v>
      </c>
      <c r="B174" s="4" t="s">
        <v>30</v>
      </c>
      <c r="C174" s="4" t="s">
        <v>293</v>
      </c>
      <c r="D174" s="4" t="s">
        <v>34</v>
      </c>
      <c r="E174" s="4">
        <v>0.108998</v>
      </c>
      <c r="F174" s="4">
        <v>3.7876699999999999E-3</v>
      </c>
      <c r="G174" s="4">
        <v>5</v>
      </c>
      <c r="H174" s="4">
        <v>11</v>
      </c>
      <c r="I174" s="4">
        <v>1</v>
      </c>
      <c r="J174" s="4">
        <v>1</v>
      </c>
      <c r="K174" s="4" t="s">
        <v>294</v>
      </c>
      <c r="L174" s="4" t="s">
        <v>295</v>
      </c>
      <c r="M174" s="4" t="s">
        <v>34</v>
      </c>
      <c r="N174" s="4">
        <v>1</v>
      </c>
      <c r="O174" s="4">
        <v>1064.60987</v>
      </c>
      <c r="P174" s="4" t="s">
        <v>30</v>
      </c>
      <c r="Q174" s="4" t="s">
        <v>30</v>
      </c>
      <c r="R174" s="4">
        <v>1.7669999999999999E-3</v>
      </c>
      <c r="S174" s="4">
        <v>5.2560000000000003E-2</v>
      </c>
      <c r="T174" s="4">
        <v>1.46</v>
      </c>
    </row>
    <row r="175" spans="1:30" hidden="1" outlineLevel="1" collapsed="1" x14ac:dyDescent="0.2">
      <c r="A175" t="s">
        <v>34</v>
      </c>
      <c r="B175" s="4" t="s">
        <v>30</v>
      </c>
      <c r="C175" s="4" t="s">
        <v>407</v>
      </c>
      <c r="D175" s="4" t="s">
        <v>34</v>
      </c>
      <c r="E175" s="4">
        <v>2.07748E-2</v>
      </c>
      <c r="F175" s="4">
        <v>3.7876699999999999E-3</v>
      </c>
      <c r="G175" s="4">
        <v>5</v>
      </c>
      <c r="H175" s="4">
        <v>10</v>
      </c>
      <c r="I175" s="4">
        <v>1</v>
      </c>
      <c r="J175" s="4">
        <v>1</v>
      </c>
      <c r="K175" s="4" t="s">
        <v>408</v>
      </c>
      <c r="L175" s="4" t="s">
        <v>409</v>
      </c>
      <c r="M175" s="4" t="s">
        <v>34</v>
      </c>
      <c r="N175" s="4">
        <v>0</v>
      </c>
      <c r="O175" s="4">
        <v>1122.5789600000001</v>
      </c>
      <c r="P175" s="4" t="s">
        <v>30</v>
      </c>
      <c r="Q175" s="4" t="s">
        <v>30</v>
      </c>
      <c r="R175" s="4">
        <v>1.7669999999999999E-3</v>
      </c>
      <c r="S175" s="4">
        <v>8.0569999999999999E-3</v>
      </c>
      <c r="T175" s="4">
        <v>2.4</v>
      </c>
    </row>
    <row r="176" spans="1:30" hidden="1" outlineLevel="1" collapsed="1" x14ac:dyDescent="0.2">
      <c r="A176" t="s">
        <v>34</v>
      </c>
      <c r="B176" s="4" t="s">
        <v>30</v>
      </c>
      <c r="C176" s="4" t="s">
        <v>410</v>
      </c>
      <c r="D176" s="4" t="s">
        <v>34</v>
      </c>
      <c r="E176" s="4">
        <v>0.16661599999999999</v>
      </c>
      <c r="F176" s="4">
        <v>9.5666499999999995E-3</v>
      </c>
      <c r="G176" s="4">
        <v>1</v>
      </c>
      <c r="H176" s="4">
        <v>1</v>
      </c>
      <c r="I176" s="4">
        <v>1</v>
      </c>
      <c r="J176" s="4">
        <v>1</v>
      </c>
      <c r="K176" s="4" t="s">
        <v>383</v>
      </c>
      <c r="L176" s="4" t="s">
        <v>411</v>
      </c>
      <c r="M176" s="4" t="s">
        <v>34</v>
      </c>
      <c r="N176" s="4">
        <v>0</v>
      </c>
      <c r="O176" s="4">
        <v>2309.0640199999998</v>
      </c>
      <c r="P176" s="4" t="s">
        <v>30</v>
      </c>
      <c r="Q176" s="4" t="s">
        <v>30</v>
      </c>
      <c r="R176" s="4">
        <v>4.1380000000000002E-3</v>
      </c>
      <c r="S176" s="4">
        <v>8.5529999999999995E-2</v>
      </c>
      <c r="T176" s="4">
        <v>1.69</v>
      </c>
    </row>
    <row r="177" spans="1:30" hidden="1" outlineLevel="1" collapsed="1" x14ac:dyDescent="0.2">
      <c r="A177" t="s">
        <v>34</v>
      </c>
      <c r="B177" s="4" t="s">
        <v>30</v>
      </c>
      <c r="C177" s="4" t="s">
        <v>412</v>
      </c>
      <c r="D177" s="4" t="s">
        <v>314</v>
      </c>
      <c r="E177" s="4">
        <v>1.7199800000000001E-2</v>
      </c>
      <c r="F177" s="4">
        <v>3.7876699999999999E-3</v>
      </c>
      <c r="G177" s="4">
        <v>2</v>
      </c>
      <c r="H177" s="4">
        <v>2</v>
      </c>
      <c r="I177" s="4">
        <v>1</v>
      </c>
      <c r="J177" s="4">
        <v>3</v>
      </c>
      <c r="K177" s="4" t="s">
        <v>391</v>
      </c>
      <c r="L177" s="4" t="s">
        <v>413</v>
      </c>
      <c r="M177" s="4" t="s">
        <v>34</v>
      </c>
      <c r="N177" s="4">
        <v>0</v>
      </c>
      <c r="O177" s="4">
        <v>1106.5622699999999</v>
      </c>
      <c r="P177" s="4" t="s">
        <v>30</v>
      </c>
      <c r="Q177" s="4" t="s">
        <v>30</v>
      </c>
      <c r="R177" s="4">
        <v>1.7669999999999999E-3</v>
      </c>
      <c r="S177" s="4">
        <v>6.5170000000000002E-3</v>
      </c>
      <c r="T177" s="4">
        <v>2.9</v>
      </c>
    </row>
    <row r="178" spans="1:30" hidden="1" outlineLevel="1" collapsed="1" x14ac:dyDescent="0.2">
      <c r="A178" t="s">
        <v>34</v>
      </c>
      <c r="B178" s="4" t="s">
        <v>30</v>
      </c>
      <c r="C178" s="4" t="s">
        <v>414</v>
      </c>
      <c r="D178" s="4" t="s">
        <v>177</v>
      </c>
      <c r="E178" s="4">
        <v>4.6406200000000002E-2</v>
      </c>
      <c r="F178" s="4">
        <v>3.7876699999999999E-3</v>
      </c>
      <c r="G178" s="4">
        <v>1</v>
      </c>
      <c r="H178" s="4">
        <v>4</v>
      </c>
      <c r="I178" s="4">
        <v>1</v>
      </c>
      <c r="J178" s="4">
        <v>1</v>
      </c>
      <c r="K178" s="4" t="s">
        <v>383</v>
      </c>
      <c r="L178" s="4" t="s">
        <v>415</v>
      </c>
      <c r="M178" s="4" t="s">
        <v>34</v>
      </c>
      <c r="N178" s="4">
        <v>0</v>
      </c>
      <c r="O178" s="4">
        <v>1220.5939599999999</v>
      </c>
      <c r="P178" s="4" t="s">
        <v>30</v>
      </c>
      <c r="Q178" s="4" t="s">
        <v>30</v>
      </c>
      <c r="R178" s="4">
        <v>1.7669999999999999E-3</v>
      </c>
      <c r="S178" s="4">
        <v>1.984E-2</v>
      </c>
      <c r="T178" s="4">
        <v>1.54</v>
      </c>
    </row>
    <row r="179" spans="1:30" hidden="1" outlineLevel="1" collapsed="1" x14ac:dyDescent="0.2">
      <c r="A179" t="s">
        <v>34</v>
      </c>
      <c r="B179" s="4" t="s">
        <v>30</v>
      </c>
      <c r="C179" s="4" t="s">
        <v>416</v>
      </c>
      <c r="D179" s="4" t="s">
        <v>34</v>
      </c>
      <c r="E179" s="4">
        <v>4.5964900000000003E-2</v>
      </c>
      <c r="F179" s="4">
        <v>3.7876699999999999E-3</v>
      </c>
      <c r="G179" s="4">
        <v>2</v>
      </c>
      <c r="H179" s="4">
        <v>2</v>
      </c>
      <c r="I179" s="4">
        <v>1</v>
      </c>
      <c r="J179" s="4">
        <v>2</v>
      </c>
      <c r="K179" s="4" t="s">
        <v>397</v>
      </c>
      <c r="L179" s="4" t="s">
        <v>417</v>
      </c>
      <c r="M179" s="4" t="s">
        <v>34</v>
      </c>
      <c r="N179" s="4">
        <v>0</v>
      </c>
      <c r="O179" s="4">
        <v>833.43632000000002</v>
      </c>
      <c r="P179" s="4" t="s">
        <v>30</v>
      </c>
      <c r="Q179" s="4" t="s">
        <v>30</v>
      </c>
      <c r="R179" s="4">
        <v>1.7669999999999999E-3</v>
      </c>
      <c r="S179" s="4">
        <v>1.9619999999999999E-2</v>
      </c>
      <c r="T179" s="4">
        <v>1.67</v>
      </c>
    </row>
    <row r="180" spans="1:30" hidden="1" outlineLevel="1" collapsed="1" x14ac:dyDescent="0.2">
      <c r="A180" t="s">
        <v>34</v>
      </c>
      <c r="B180" s="4" t="s">
        <v>30</v>
      </c>
      <c r="C180" s="4" t="s">
        <v>418</v>
      </c>
      <c r="D180" s="4" t="s">
        <v>34</v>
      </c>
      <c r="E180" s="4">
        <v>1.81412E-2</v>
      </c>
      <c r="F180" s="4">
        <v>3.7876699999999999E-3</v>
      </c>
      <c r="G180" s="4">
        <v>4</v>
      </c>
      <c r="H180" s="4">
        <v>8</v>
      </c>
      <c r="I180" s="4">
        <v>1</v>
      </c>
      <c r="J180" s="4">
        <v>1</v>
      </c>
      <c r="K180" s="4" t="s">
        <v>419</v>
      </c>
      <c r="L180" s="4" t="s">
        <v>420</v>
      </c>
      <c r="M180" s="4" t="s">
        <v>34</v>
      </c>
      <c r="N180" s="4">
        <v>0</v>
      </c>
      <c r="O180" s="4">
        <v>1029.5938900000001</v>
      </c>
      <c r="P180" s="4" t="s">
        <v>30</v>
      </c>
      <c r="Q180" s="4" t="s">
        <v>30</v>
      </c>
      <c r="R180" s="4">
        <v>1.7669999999999999E-3</v>
      </c>
      <c r="S180" s="4">
        <v>6.8910000000000004E-3</v>
      </c>
      <c r="T180" s="4">
        <v>2.13</v>
      </c>
    </row>
    <row r="181" spans="1:30" hidden="1" outlineLevel="1" collapsed="1" x14ac:dyDescent="0.2">
      <c r="A181" t="s">
        <v>34</v>
      </c>
      <c r="B181" s="4" t="s">
        <v>30</v>
      </c>
      <c r="C181" s="4" t="s">
        <v>328</v>
      </c>
      <c r="D181" s="4" t="s">
        <v>34</v>
      </c>
      <c r="E181" s="4">
        <v>4.9613400000000002E-2</v>
      </c>
      <c r="F181" s="4">
        <v>3.7876699999999999E-3</v>
      </c>
      <c r="G181" s="4">
        <v>4</v>
      </c>
      <c r="H181" s="4">
        <v>8</v>
      </c>
      <c r="I181" s="4">
        <v>1</v>
      </c>
      <c r="J181" s="4">
        <v>2</v>
      </c>
      <c r="K181" s="4" t="s">
        <v>329</v>
      </c>
      <c r="L181" s="4" t="s">
        <v>330</v>
      </c>
      <c r="M181" s="4" t="s">
        <v>34</v>
      </c>
      <c r="N181" s="4">
        <v>0</v>
      </c>
      <c r="O181" s="4">
        <v>1090.53097</v>
      </c>
      <c r="P181" s="4" t="s">
        <v>30</v>
      </c>
      <c r="Q181" s="4" t="s">
        <v>30</v>
      </c>
      <c r="R181" s="4">
        <v>1.7669999999999999E-3</v>
      </c>
      <c r="S181" s="4">
        <v>2.138E-2</v>
      </c>
      <c r="T181" s="4">
        <v>1.49</v>
      </c>
    </row>
    <row r="182" spans="1:30" hidden="1" outlineLevel="1" collapsed="1" x14ac:dyDescent="0.2">
      <c r="A182" t="s">
        <v>34</v>
      </c>
      <c r="B182" s="4" t="s">
        <v>30</v>
      </c>
      <c r="C182" s="4" t="s">
        <v>328</v>
      </c>
      <c r="D182" s="4" t="s">
        <v>331</v>
      </c>
      <c r="E182" s="4">
        <v>2.27744E-2</v>
      </c>
      <c r="F182" s="4">
        <v>3.7876699999999999E-3</v>
      </c>
      <c r="G182" s="4">
        <v>4</v>
      </c>
      <c r="H182" s="4">
        <v>8</v>
      </c>
      <c r="I182" s="4">
        <v>1</v>
      </c>
      <c r="J182" s="4">
        <v>16</v>
      </c>
      <c r="K182" s="4" t="s">
        <v>329</v>
      </c>
      <c r="L182" s="4" t="s">
        <v>330</v>
      </c>
      <c r="M182" s="4" t="s">
        <v>34</v>
      </c>
      <c r="N182" s="4">
        <v>0</v>
      </c>
      <c r="O182" s="4">
        <v>1106.5258799999999</v>
      </c>
      <c r="P182" s="4" t="s">
        <v>30</v>
      </c>
      <c r="Q182" s="4" t="s">
        <v>30</v>
      </c>
      <c r="R182" s="4">
        <v>1.7669999999999999E-3</v>
      </c>
      <c r="S182" s="4">
        <v>8.9359999999999995E-3</v>
      </c>
      <c r="T182" s="4">
        <v>2.31</v>
      </c>
    </row>
    <row r="183" spans="1:30" hidden="1" outlineLevel="1" collapsed="1" x14ac:dyDescent="0.2">
      <c r="A183" t="s">
        <v>34</v>
      </c>
      <c r="B183" s="4" t="s">
        <v>30</v>
      </c>
      <c r="C183" s="4" t="s">
        <v>421</v>
      </c>
      <c r="D183" s="4" t="s">
        <v>34</v>
      </c>
      <c r="E183" s="4">
        <v>3.01313E-2</v>
      </c>
      <c r="F183" s="4">
        <v>3.7876699999999999E-3</v>
      </c>
      <c r="G183" s="4">
        <v>1</v>
      </c>
      <c r="H183" s="4">
        <v>1</v>
      </c>
      <c r="I183" s="4">
        <v>1</v>
      </c>
      <c r="J183" s="4">
        <v>1</v>
      </c>
      <c r="K183" s="4" t="s">
        <v>383</v>
      </c>
      <c r="L183" s="4" t="s">
        <v>422</v>
      </c>
      <c r="M183" s="4" t="s">
        <v>34</v>
      </c>
      <c r="N183" s="4">
        <v>0</v>
      </c>
      <c r="O183" s="4">
        <v>1167.64805</v>
      </c>
      <c r="P183" s="4" t="s">
        <v>30</v>
      </c>
      <c r="Q183" s="4" t="s">
        <v>30</v>
      </c>
      <c r="R183" s="4">
        <v>1.7669999999999999E-3</v>
      </c>
      <c r="S183" s="4">
        <v>1.217E-2</v>
      </c>
      <c r="T183" s="4">
        <v>2.02</v>
      </c>
    </row>
    <row r="184" spans="1:30" collapsed="1" x14ac:dyDescent="0.2">
      <c r="A184" s="3" t="s">
        <v>30</v>
      </c>
      <c r="B184" s="3" t="s">
        <v>31</v>
      </c>
      <c r="C184" s="3" t="s">
        <v>423</v>
      </c>
      <c r="D184" s="3" t="s">
        <v>424</v>
      </c>
      <c r="E184" s="3">
        <v>0</v>
      </c>
      <c r="F184" s="3">
        <v>39.412999999999997</v>
      </c>
      <c r="G184" s="3">
        <v>32</v>
      </c>
      <c r="H184" s="3">
        <v>20</v>
      </c>
      <c r="I184" s="3">
        <v>20</v>
      </c>
      <c r="J184" s="3">
        <v>35</v>
      </c>
      <c r="K184" s="3">
        <v>12</v>
      </c>
      <c r="L184" s="3">
        <v>590</v>
      </c>
      <c r="M184" s="3">
        <v>62.4</v>
      </c>
      <c r="N184" s="3">
        <v>8.06</v>
      </c>
      <c r="O184" s="3">
        <v>47.59</v>
      </c>
      <c r="P184" s="3">
        <v>20</v>
      </c>
      <c r="Q184" s="3" t="s">
        <v>34</v>
      </c>
      <c r="R184" s="3" t="s">
        <v>34</v>
      </c>
      <c r="S184" s="3" t="s">
        <v>34</v>
      </c>
      <c r="T184" s="3" t="s">
        <v>34</v>
      </c>
      <c r="U184" s="3" t="s">
        <v>34</v>
      </c>
      <c r="V184" s="3" t="s">
        <v>423</v>
      </c>
      <c r="W184" s="3" t="s">
        <v>34</v>
      </c>
      <c r="X184" s="3" t="s">
        <v>34</v>
      </c>
      <c r="Y184" s="3" t="s">
        <v>34</v>
      </c>
      <c r="Z184" s="3" t="s">
        <v>34</v>
      </c>
      <c r="AA184" s="3">
        <v>0</v>
      </c>
      <c r="AB184" s="3" t="s">
        <v>30</v>
      </c>
      <c r="AC184" s="3">
        <v>1</v>
      </c>
      <c r="AD184" s="3" t="s">
        <v>34</v>
      </c>
    </row>
    <row r="185" spans="1:30" hidden="1" outlineLevel="1" collapsed="1" x14ac:dyDescent="0.2">
      <c r="A185" t="s">
        <v>34</v>
      </c>
      <c r="B185" s="2" t="s">
        <v>36</v>
      </c>
      <c r="C185" s="2" t="s">
        <v>37</v>
      </c>
      <c r="D185" s="2" t="s">
        <v>29</v>
      </c>
      <c r="E185" s="2" t="s">
        <v>38</v>
      </c>
      <c r="F185" s="2" t="s">
        <v>39</v>
      </c>
      <c r="G185" s="2" t="s">
        <v>28</v>
      </c>
      <c r="H185" s="2" t="s">
        <v>40</v>
      </c>
      <c r="I185" s="2" t="s">
        <v>8</v>
      </c>
      <c r="J185" s="2" t="s">
        <v>9</v>
      </c>
      <c r="K185" s="2" t="s">
        <v>41</v>
      </c>
      <c r="L185" s="2" t="s">
        <v>42</v>
      </c>
      <c r="M185" s="2" t="s">
        <v>43</v>
      </c>
      <c r="N185" s="2" t="s">
        <v>44</v>
      </c>
      <c r="O185" s="2" t="s">
        <v>45</v>
      </c>
      <c r="P185" s="2" t="s">
        <v>27</v>
      </c>
      <c r="Q185" s="2" t="s">
        <v>46</v>
      </c>
      <c r="R185" s="2" t="s">
        <v>47</v>
      </c>
      <c r="S185" s="2" t="s">
        <v>48</v>
      </c>
      <c r="T185" s="2" t="s">
        <v>49</v>
      </c>
    </row>
    <row r="186" spans="1:30" hidden="1" outlineLevel="1" collapsed="1" x14ac:dyDescent="0.2">
      <c r="A186" t="s">
        <v>34</v>
      </c>
      <c r="B186" s="4" t="s">
        <v>30</v>
      </c>
      <c r="C186" s="4" t="s">
        <v>425</v>
      </c>
      <c r="D186" s="4" t="s">
        <v>34</v>
      </c>
      <c r="E186" s="4">
        <v>3.3176299999999999E-2</v>
      </c>
      <c r="F186" s="4">
        <v>3.7876699999999999E-3</v>
      </c>
      <c r="G186" s="4">
        <v>1</v>
      </c>
      <c r="H186" s="4">
        <v>1</v>
      </c>
      <c r="I186" s="4">
        <v>1</v>
      </c>
      <c r="J186" s="4">
        <v>1</v>
      </c>
      <c r="K186" s="4" t="s">
        <v>423</v>
      </c>
      <c r="L186" s="4" t="s">
        <v>426</v>
      </c>
      <c r="M186" s="4" t="s">
        <v>34</v>
      </c>
      <c r="N186" s="4">
        <v>0</v>
      </c>
      <c r="O186" s="4">
        <v>1093.5272600000001</v>
      </c>
      <c r="P186" s="4" t="s">
        <v>30</v>
      </c>
      <c r="Q186" s="4" t="s">
        <v>30</v>
      </c>
      <c r="R186" s="4">
        <v>1.7669999999999999E-3</v>
      </c>
      <c r="S186" s="4">
        <v>1.3559999999999999E-2</v>
      </c>
      <c r="T186" s="4">
        <v>1.57</v>
      </c>
    </row>
    <row r="187" spans="1:30" hidden="1" outlineLevel="1" collapsed="1" x14ac:dyDescent="0.2">
      <c r="A187" t="s">
        <v>34</v>
      </c>
      <c r="B187" s="4" t="s">
        <v>30</v>
      </c>
      <c r="C187" s="4" t="s">
        <v>427</v>
      </c>
      <c r="D187" s="4" t="s">
        <v>58</v>
      </c>
      <c r="E187" s="4">
        <v>5.15421E-2</v>
      </c>
      <c r="F187" s="4">
        <v>3.7876699999999999E-3</v>
      </c>
      <c r="G187" s="4">
        <v>4</v>
      </c>
      <c r="H187" s="4">
        <v>8</v>
      </c>
      <c r="I187" s="4">
        <v>1</v>
      </c>
      <c r="J187" s="4">
        <v>1</v>
      </c>
      <c r="K187" s="4" t="s">
        <v>428</v>
      </c>
      <c r="L187" s="4" t="s">
        <v>429</v>
      </c>
      <c r="M187" s="4" t="s">
        <v>34</v>
      </c>
      <c r="N187" s="4">
        <v>0</v>
      </c>
      <c r="O187" s="4">
        <v>1042.45099</v>
      </c>
      <c r="P187" s="4" t="s">
        <v>30</v>
      </c>
      <c r="Q187" s="4" t="s">
        <v>30</v>
      </c>
      <c r="R187" s="4">
        <v>1.7669999999999999E-3</v>
      </c>
      <c r="S187" s="4">
        <v>2.239E-2</v>
      </c>
      <c r="T187" s="4">
        <v>1.5</v>
      </c>
    </row>
    <row r="188" spans="1:30" hidden="1" outlineLevel="1" collapsed="1" x14ac:dyDescent="0.2">
      <c r="A188" t="s">
        <v>34</v>
      </c>
      <c r="B188" s="4" t="s">
        <v>30</v>
      </c>
      <c r="C188" s="4" t="s">
        <v>430</v>
      </c>
      <c r="D188" s="4" t="s">
        <v>61</v>
      </c>
      <c r="E188" s="4">
        <v>3.3336299999999999E-2</v>
      </c>
      <c r="F188" s="4">
        <v>3.7876699999999999E-3</v>
      </c>
      <c r="G188" s="4">
        <v>1</v>
      </c>
      <c r="H188" s="4">
        <v>1</v>
      </c>
      <c r="I188" s="4">
        <v>1</v>
      </c>
      <c r="J188" s="4">
        <v>2</v>
      </c>
      <c r="K188" s="4" t="s">
        <v>423</v>
      </c>
      <c r="L188" s="4" t="s">
        <v>431</v>
      </c>
      <c r="M188" s="4" t="s">
        <v>34</v>
      </c>
      <c r="N188" s="4">
        <v>0</v>
      </c>
      <c r="O188" s="4">
        <v>1171.52997</v>
      </c>
      <c r="P188" s="4" t="s">
        <v>30</v>
      </c>
      <c r="Q188" s="4" t="s">
        <v>30</v>
      </c>
      <c r="R188" s="4">
        <v>1.7669999999999999E-3</v>
      </c>
      <c r="S188" s="4">
        <v>1.363E-2</v>
      </c>
      <c r="T188" s="4">
        <v>1.7</v>
      </c>
    </row>
    <row r="189" spans="1:30" hidden="1" outlineLevel="1" collapsed="1" x14ac:dyDescent="0.2">
      <c r="A189" t="s">
        <v>34</v>
      </c>
      <c r="B189" s="4" t="s">
        <v>30</v>
      </c>
      <c r="C189" s="4" t="s">
        <v>228</v>
      </c>
      <c r="D189" s="4" t="s">
        <v>34</v>
      </c>
      <c r="E189" s="4">
        <v>5.2784499999999998E-2</v>
      </c>
      <c r="F189" s="4">
        <v>3.7876699999999999E-3</v>
      </c>
      <c r="G189" s="4">
        <v>10</v>
      </c>
      <c r="H189" s="4">
        <v>22</v>
      </c>
      <c r="I189" s="4">
        <v>1</v>
      </c>
      <c r="J189" s="4">
        <v>4</v>
      </c>
      <c r="K189" s="4" t="s">
        <v>229</v>
      </c>
      <c r="L189" s="4" t="s">
        <v>230</v>
      </c>
      <c r="M189" s="4" t="s">
        <v>34</v>
      </c>
      <c r="N189" s="4">
        <v>0</v>
      </c>
      <c r="O189" s="4">
        <v>827.42978000000005</v>
      </c>
      <c r="P189" s="4" t="s">
        <v>30</v>
      </c>
      <c r="Q189" s="4" t="s">
        <v>30</v>
      </c>
      <c r="R189" s="4">
        <v>1.7669999999999999E-3</v>
      </c>
      <c r="S189" s="4">
        <v>2.2929999999999999E-2</v>
      </c>
      <c r="T189" s="4">
        <v>1.3</v>
      </c>
    </row>
    <row r="190" spans="1:30" hidden="1" outlineLevel="1" collapsed="1" x14ac:dyDescent="0.2">
      <c r="A190" t="s">
        <v>34</v>
      </c>
      <c r="B190" s="4" t="s">
        <v>30</v>
      </c>
      <c r="C190" s="4" t="s">
        <v>432</v>
      </c>
      <c r="D190" s="4" t="s">
        <v>34</v>
      </c>
      <c r="E190" s="4">
        <v>0.108998</v>
      </c>
      <c r="F190" s="4">
        <v>3.7876699999999999E-3</v>
      </c>
      <c r="G190" s="4">
        <v>7</v>
      </c>
      <c r="H190" s="4">
        <v>22</v>
      </c>
      <c r="I190" s="4">
        <v>1</v>
      </c>
      <c r="J190" s="4">
        <v>1</v>
      </c>
      <c r="K190" s="4" t="s">
        <v>433</v>
      </c>
      <c r="L190" s="4" t="s">
        <v>434</v>
      </c>
      <c r="M190" s="4" t="s">
        <v>34</v>
      </c>
      <c r="N190" s="4">
        <v>0</v>
      </c>
      <c r="O190" s="4">
        <v>906.46795999999995</v>
      </c>
      <c r="P190" s="4" t="s">
        <v>30</v>
      </c>
      <c r="Q190" s="4" t="s">
        <v>30</v>
      </c>
      <c r="R190" s="4">
        <v>1.7669999999999999E-3</v>
      </c>
      <c r="S190" s="4">
        <v>5.2359999999999997E-2</v>
      </c>
      <c r="T190" s="4">
        <v>1.41</v>
      </c>
    </row>
    <row r="191" spans="1:30" hidden="1" outlineLevel="1" collapsed="1" x14ac:dyDescent="0.2">
      <c r="A191" t="s">
        <v>34</v>
      </c>
      <c r="B191" s="4" t="s">
        <v>30</v>
      </c>
      <c r="C191" s="4" t="s">
        <v>435</v>
      </c>
      <c r="D191" s="4" t="s">
        <v>34</v>
      </c>
      <c r="E191" s="4">
        <v>2.4844000000000001E-2</v>
      </c>
      <c r="F191" s="4">
        <v>3.7876699999999999E-3</v>
      </c>
      <c r="G191" s="4">
        <v>1</v>
      </c>
      <c r="H191" s="4">
        <v>1</v>
      </c>
      <c r="I191" s="4">
        <v>1</v>
      </c>
      <c r="J191" s="4">
        <v>1</v>
      </c>
      <c r="K191" s="4" t="s">
        <v>423</v>
      </c>
      <c r="L191" s="4" t="s">
        <v>436</v>
      </c>
      <c r="M191" s="4" t="s">
        <v>34</v>
      </c>
      <c r="N191" s="4">
        <v>0</v>
      </c>
      <c r="O191" s="4">
        <v>971.47924999999998</v>
      </c>
      <c r="P191" s="4" t="s">
        <v>30</v>
      </c>
      <c r="Q191" s="4" t="s">
        <v>30</v>
      </c>
      <c r="R191" s="4">
        <v>1.7669999999999999E-3</v>
      </c>
      <c r="S191" s="4">
        <v>9.8019999999999999E-3</v>
      </c>
      <c r="T191" s="4">
        <v>1.5</v>
      </c>
    </row>
    <row r="192" spans="1:30" hidden="1" outlineLevel="1" collapsed="1" x14ac:dyDescent="0.2">
      <c r="A192" t="s">
        <v>34</v>
      </c>
      <c r="B192" s="4" t="s">
        <v>30</v>
      </c>
      <c r="C192" s="4" t="s">
        <v>437</v>
      </c>
      <c r="D192" s="4" t="s">
        <v>374</v>
      </c>
      <c r="E192" s="4">
        <v>0.110525</v>
      </c>
      <c r="F192" s="4">
        <v>3.7876699999999999E-3</v>
      </c>
      <c r="G192" s="4">
        <v>4</v>
      </c>
      <c r="H192" s="4">
        <v>8</v>
      </c>
      <c r="I192" s="4">
        <v>1</v>
      </c>
      <c r="J192" s="4">
        <v>1</v>
      </c>
      <c r="K192" s="4" t="s">
        <v>428</v>
      </c>
      <c r="L192" s="4" t="s">
        <v>438</v>
      </c>
      <c r="M192" s="4" t="s">
        <v>34</v>
      </c>
      <c r="N192" s="4">
        <v>1</v>
      </c>
      <c r="O192" s="4">
        <v>1170.5459499999999</v>
      </c>
      <c r="P192" s="4" t="s">
        <v>30</v>
      </c>
      <c r="Q192" s="4" t="s">
        <v>30</v>
      </c>
      <c r="R192" s="4">
        <v>1.7669999999999999E-3</v>
      </c>
      <c r="S192" s="4">
        <v>5.3400000000000003E-2</v>
      </c>
      <c r="T192" s="4">
        <v>1.24</v>
      </c>
    </row>
    <row r="193" spans="1:30" hidden="1" outlineLevel="1" collapsed="1" x14ac:dyDescent="0.2">
      <c r="A193" t="s">
        <v>34</v>
      </c>
      <c r="B193" s="4" t="s">
        <v>30</v>
      </c>
      <c r="C193" s="4" t="s">
        <v>439</v>
      </c>
      <c r="D193" s="4" t="s">
        <v>34</v>
      </c>
      <c r="E193" s="4">
        <v>1.6951600000000001E-2</v>
      </c>
      <c r="F193" s="4">
        <v>3.7876699999999999E-3</v>
      </c>
      <c r="G193" s="4">
        <v>1</v>
      </c>
      <c r="H193" s="4">
        <v>1</v>
      </c>
      <c r="I193" s="4">
        <v>1</v>
      </c>
      <c r="J193" s="4">
        <v>1</v>
      </c>
      <c r="K193" s="4" t="s">
        <v>423</v>
      </c>
      <c r="L193" s="4" t="s">
        <v>440</v>
      </c>
      <c r="M193" s="4" t="s">
        <v>34</v>
      </c>
      <c r="N193" s="4">
        <v>0</v>
      </c>
      <c r="O193" s="4">
        <v>1143.6255799999999</v>
      </c>
      <c r="P193" s="4" t="s">
        <v>30</v>
      </c>
      <c r="Q193" s="4" t="s">
        <v>30</v>
      </c>
      <c r="R193" s="4">
        <v>1.7669999999999999E-3</v>
      </c>
      <c r="S193" s="4">
        <v>6.3949999999999996E-3</v>
      </c>
      <c r="T193" s="4">
        <v>2.19</v>
      </c>
    </row>
    <row r="194" spans="1:30" hidden="1" outlineLevel="1" collapsed="1" x14ac:dyDescent="0.2">
      <c r="A194" t="s">
        <v>34</v>
      </c>
      <c r="B194" s="4" t="s">
        <v>30</v>
      </c>
      <c r="C194" s="4" t="s">
        <v>245</v>
      </c>
      <c r="D194" s="4" t="s">
        <v>148</v>
      </c>
      <c r="E194" s="4">
        <v>0.104048</v>
      </c>
      <c r="F194" s="4">
        <v>3.7876699999999999E-3</v>
      </c>
      <c r="G194" s="4">
        <v>6</v>
      </c>
      <c r="H194" s="4">
        <v>13</v>
      </c>
      <c r="I194" s="4">
        <v>1</v>
      </c>
      <c r="J194" s="4">
        <v>1</v>
      </c>
      <c r="K194" s="4" t="s">
        <v>246</v>
      </c>
      <c r="L194" s="4" t="s">
        <v>247</v>
      </c>
      <c r="M194" s="4" t="s">
        <v>34</v>
      </c>
      <c r="N194" s="4">
        <v>0</v>
      </c>
      <c r="O194" s="4">
        <v>1005.4669699999999</v>
      </c>
      <c r="P194" s="4" t="s">
        <v>30</v>
      </c>
      <c r="Q194" s="4" t="s">
        <v>30</v>
      </c>
      <c r="R194" s="4">
        <v>1.7669999999999999E-3</v>
      </c>
      <c r="S194" s="4">
        <v>4.972E-2</v>
      </c>
      <c r="T194" s="4">
        <v>1.21</v>
      </c>
    </row>
    <row r="195" spans="1:30" hidden="1" outlineLevel="1" collapsed="1" x14ac:dyDescent="0.2">
      <c r="A195" t="s">
        <v>34</v>
      </c>
      <c r="B195" s="4" t="s">
        <v>30</v>
      </c>
      <c r="C195" s="4" t="s">
        <v>88</v>
      </c>
      <c r="D195" s="4" t="s">
        <v>34</v>
      </c>
      <c r="E195" s="4">
        <v>1.6149699999999999E-2</v>
      </c>
      <c r="F195" s="4">
        <v>3.7876699999999999E-3</v>
      </c>
      <c r="G195" s="4">
        <v>4</v>
      </c>
      <c r="H195" s="4">
        <v>10</v>
      </c>
      <c r="I195" s="4">
        <v>1</v>
      </c>
      <c r="J195" s="4">
        <v>6</v>
      </c>
      <c r="K195" s="4" t="s">
        <v>89</v>
      </c>
      <c r="L195" s="4" t="s">
        <v>90</v>
      </c>
      <c r="M195" s="4" t="s">
        <v>34</v>
      </c>
      <c r="N195" s="4">
        <v>2</v>
      </c>
      <c r="O195" s="4">
        <v>1308.65425</v>
      </c>
      <c r="P195" s="4" t="s">
        <v>30</v>
      </c>
      <c r="Q195" s="4" t="s">
        <v>30</v>
      </c>
      <c r="R195" s="4">
        <v>1.7669999999999999E-3</v>
      </c>
      <c r="S195" s="4">
        <v>6.0530000000000002E-3</v>
      </c>
      <c r="T195" s="4">
        <v>2.8</v>
      </c>
    </row>
    <row r="196" spans="1:30" hidden="1" outlineLevel="1" collapsed="1" x14ac:dyDescent="0.2">
      <c r="A196" t="s">
        <v>34</v>
      </c>
      <c r="B196" s="4" t="s">
        <v>30</v>
      </c>
      <c r="C196" s="4" t="s">
        <v>250</v>
      </c>
      <c r="D196" s="4" t="s">
        <v>34</v>
      </c>
      <c r="E196" s="4">
        <v>3.7771199999999998E-2</v>
      </c>
      <c r="F196" s="4">
        <v>3.7876699999999999E-3</v>
      </c>
      <c r="G196" s="4">
        <v>4</v>
      </c>
      <c r="H196" s="4">
        <v>9</v>
      </c>
      <c r="I196" s="4">
        <v>1</v>
      </c>
      <c r="J196" s="4">
        <v>1</v>
      </c>
      <c r="K196" s="4" t="s">
        <v>251</v>
      </c>
      <c r="L196" s="4" t="s">
        <v>252</v>
      </c>
      <c r="M196" s="4" t="s">
        <v>34</v>
      </c>
      <c r="N196" s="4">
        <v>0</v>
      </c>
      <c r="O196" s="4">
        <v>1329.7260200000001</v>
      </c>
      <c r="P196" s="4" t="s">
        <v>30</v>
      </c>
      <c r="Q196" s="4" t="s">
        <v>30</v>
      </c>
      <c r="R196" s="4">
        <v>1.7669999999999999E-3</v>
      </c>
      <c r="S196" s="4">
        <v>1.5740000000000001E-2</v>
      </c>
      <c r="T196" s="4">
        <v>2.2799999999999998</v>
      </c>
    </row>
    <row r="197" spans="1:30" hidden="1" outlineLevel="1" collapsed="1" x14ac:dyDescent="0.2">
      <c r="A197" t="s">
        <v>34</v>
      </c>
      <c r="B197" s="4" t="s">
        <v>30</v>
      </c>
      <c r="C197" s="4" t="s">
        <v>441</v>
      </c>
      <c r="D197" s="4" t="s">
        <v>442</v>
      </c>
      <c r="E197" s="4">
        <v>1.9041300000000001E-2</v>
      </c>
      <c r="F197" s="4">
        <v>3.7876699999999999E-3</v>
      </c>
      <c r="G197" s="4">
        <v>1</v>
      </c>
      <c r="H197" s="4">
        <v>1</v>
      </c>
      <c r="I197" s="4">
        <v>1</v>
      </c>
      <c r="J197" s="4">
        <v>2</v>
      </c>
      <c r="K197" s="4" t="s">
        <v>423</v>
      </c>
      <c r="L197" s="4" t="s">
        <v>443</v>
      </c>
      <c r="M197" s="4" t="s">
        <v>34</v>
      </c>
      <c r="N197" s="4">
        <v>0</v>
      </c>
      <c r="O197" s="4">
        <v>1254.56708</v>
      </c>
      <c r="P197" s="4" t="s">
        <v>30</v>
      </c>
      <c r="Q197" s="4" t="s">
        <v>30</v>
      </c>
      <c r="R197" s="4">
        <v>1.7669999999999999E-3</v>
      </c>
      <c r="S197" s="4">
        <v>7.2830000000000004E-3</v>
      </c>
      <c r="T197" s="4">
        <v>1.79</v>
      </c>
    </row>
    <row r="198" spans="1:30" hidden="1" outlineLevel="1" collapsed="1" x14ac:dyDescent="0.2">
      <c r="A198" t="s">
        <v>34</v>
      </c>
      <c r="B198" s="4" t="s">
        <v>30</v>
      </c>
      <c r="C198" s="4" t="s">
        <v>444</v>
      </c>
      <c r="D198" s="4" t="s">
        <v>34</v>
      </c>
      <c r="E198" s="4">
        <v>0.13048299999999999</v>
      </c>
      <c r="F198" s="4">
        <v>3.7876699999999999E-3</v>
      </c>
      <c r="G198" s="4">
        <v>1</v>
      </c>
      <c r="H198" s="4">
        <v>1</v>
      </c>
      <c r="I198" s="4">
        <v>1</v>
      </c>
      <c r="J198" s="4">
        <v>1</v>
      </c>
      <c r="K198" s="4" t="s">
        <v>423</v>
      </c>
      <c r="L198" s="4" t="s">
        <v>445</v>
      </c>
      <c r="M198" s="4" t="s">
        <v>34</v>
      </c>
      <c r="N198" s="4">
        <v>0</v>
      </c>
      <c r="O198" s="4">
        <v>1410.7223300000001</v>
      </c>
      <c r="P198" s="4" t="s">
        <v>30</v>
      </c>
      <c r="Q198" s="4" t="s">
        <v>30</v>
      </c>
      <c r="R198" s="4">
        <v>1.7669999999999999E-3</v>
      </c>
      <c r="S198" s="4">
        <v>6.4420000000000005E-2</v>
      </c>
      <c r="T198" s="4">
        <v>1.8</v>
      </c>
    </row>
    <row r="199" spans="1:30" hidden="1" outlineLevel="1" collapsed="1" x14ac:dyDescent="0.2">
      <c r="A199" t="s">
        <v>34</v>
      </c>
      <c r="B199" s="4" t="s">
        <v>30</v>
      </c>
      <c r="C199" s="4" t="s">
        <v>446</v>
      </c>
      <c r="D199" s="4" t="s">
        <v>34</v>
      </c>
      <c r="E199" s="4">
        <v>6.27386E-3</v>
      </c>
      <c r="F199" s="4">
        <v>3.7876699999999999E-3</v>
      </c>
      <c r="G199" s="4">
        <v>1</v>
      </c>
      <c r="H199" s="4">
        <v>1</v>
      </c>
      <c r="I199" s="4">
        <v>1</v>
      </c>
      <c r="J199" s="4">
        <v>1</v>
      </c>
      <c r="K199" s="4" t="s">
        <v>423</v>
      </c>
      <c r="L199" s="4" t="s">
        <v>447</v>
      </c>
      <c r="M199" s="4" t="s">
        <v>34</v>
      </c>
      <c r="N199" s="4">
        <v>0</v>
      </c>
      <c r="O199" s="4">
        <v>1242.5637099999999</v>
      </c>
      <c r="P199" s="4" t="s">
        <v>30</v>
      </c>
      <c r="Q199" s="4" t="s">
        <v>30</v>
      </c>
      <c r="R199" s="4">
        <v>1.7669999999999999E-3</v>
      </c>
      <c r="S199" s="4">
        <v>2.1129999999999999E-3</v>
      </c>
      <c r="T199" s="4">
        <v>2.54</v>
      </c>
    </row>
    <row r="200" spans="1:30" hidden="1" outlineLevel="1" collapsed="1" x14ac:dyDescent="0.2">
      <c r="A200" t="s">
        <v>34</v>
      </c>
      <c r="B200" s="4" t="s">
        <v>30</v>
      </c>
      <c r="C200" s="4" t="s">
        <v>448</v>
      </c>
      <c r="D200" s="4" t="s">
        <v>34</v>
      </c>
      <c r="E200" s="4">
        <v>0.103084</v>
      </c>
      <c r="F200" s="4">
        <v>3.7876699999999999E-3</v>
      </c>
      <c r="G200" s="4">
        <v>1</v>
      </c>
      <c r="H200" s="4">
        <v>1</v>
      </c>
      <c r="I200" s="4">
        <v>1</v>
      </c>
      <c r="J200" s="4">
        <v>1</v>
      </c>
      <c r="K200" s="4" t="s">
        <v>423</v>
      </c>
      <c r="L200" s="4" t="s">
        <v>449</v>
      </c>
      <c r="M200" s="4" t="s">
        <v>34</v>
      </c>
      <c r="N200" s="4">
        <v>0</v>
      </c>
      <c r="O200" s="4">
        <v>884.44722000000002</v>
      </c>
      <c r="P200" s="4" t="s">
        <v>30</v>
      </c>
      <c r="Q200" s="4" t="s">
        <v>30</v>
      </c>
      <c r="R200" s="4">
        <v>1.7669999999999999E-3</v>
      </c>
      <c r="S200" s="4">
        <v>4.913E-2</v>
      </c>
      <c r="T200" s="4">
        <v>2.0299999999999998</v>
      </c>
    </row>
    <row r="201" spans="1:30" hidden="1" outlineLevel="1" collapsed="1" x14ac:dyDescent="0.2">
      <c r="A201" t="s">
        <v>34</v>
      </c>
      <c r="B201" s="4" t="s">
        <v>30</v>
      </c>
      <c r="C201" s="4" t="s">
        <v>450</v>
      </c>
      <c r="D201" s="4" t="s">
        <v>451</v>
      </c>
      <c r="E201" s="4">
        <v>4.4249700000000003E-3</v>
      </c>
      <c r="F201" s="4">
        <v>3.7876699999999999E-3</v>
      </c>
      <c r="G201" s="4">
        <v>1</v>
      </c>
      <c r="H201" s="4">
        <v>1</v>
      </c>
      <c r="I201" s="4">
        <v>1</v>
      </c>
      <c r="J201" s="4">
        <v>3</v>
      </c>
      <c r="K201" s="4" t="s">
        <v>423</v>
      </c>
      <c r="L201" s="4" t="s">
        <v>452</v>
      </c>
      <c r="M201" s="4" t="s">
        <v>34</v>
      </c>
      <c r="N201" s="4">
        <v>0</v>
      </c>
      <c r="O201" s="4">
        <v>1298.62968</v>
      </c>
      <c r="P201" s="4" t="s">
        <v>30</v>
      </c>
      <c r="Q201" s="4" t="s">
        <v>30</v>
      </c>
      <c r="R201" s="4">
        <v>1.7669999999999999E-3</v>
      </c>
      <c r="S201" s="4">
        <v>1.428E-3</v>
      </c>
      <c r="T201" s="4">
        <v>2.82</v>
      </c>
    </row>
    <row r="202" spans="1:30" hidden="1" outlineLevel="1" collapsed="1" x14ac:dyDescent="0.2">
      <c r="A202" t="s">
        <v>34</v>
      </c>
      <c r="B202" s="4" t="s">
        <v>30</v>
      </c>
      <c r="C202" s="4" t="s">
        <v>453</v>
      </c>
      <c r="D202" s="4" t="s">
        <v>454</v>
      </c>
      <c r="E202" s="4">
        <v>1.35542E-3</v>
      </c>
      <c r="F202" s="4">
        <v>3.7876699999999999E-3</v>
      </c>
      <c r="G202" s="4">
        <v>1</v>
      </c>
      <c r="H202" s="4">
        <v>1</v>
      </c>
      <c r="I202" s="4">
        <v>1</v>
      </c>
      <c r="J202" s="4">
        <v>2</v>
      </c>
      <c r="K202" s="4" t="s">
        <v>423</v>
      </c>
      <c r="L202" s="4" t="s">
        <v>455</v>
      </c>
      <c r="M202" s="4" t="s">
        <v>34</v>
      </c>
      <c r="N202" s="4">
        <v>0</v>
      </c>
      <c r="O202" s="4">
        <v>1457.66508</v>
      </c>
      <c r="P202" s="4" t="s">
        <v>30</v>
      </c>
      <c r="Q202" s="4" t="s">
        <v>30</v>
      </c>
      <c r="R202" s="4">
        <v>1.7669999999999999E-3</v>
      </c>
      <c r="S202" s="4">
        <v>3.8049999999999998E-4</v>
      </c>
      <c r="T202" s="4">
        <v>2.85</v>
      </c>
    </row>
    <row r="203" spans="1:30" hidden="1" outlineLevel="1" collapsed="1" x14ac:dyDescent="0.2">
      <c r="A203" t="s">
        <v>34</v>
      </c>
      <c r="B203" s="4" t="s">
        <v>30</v>
      </c>
      <c r="C203" s="4" t="s">
        <v>456</v>
      </c>
      <c r="D203" s="4" t="s">
        <v>148</v>
      </c>
      <c r="E203" s="4">
        <v>3.5146400000000001E-2</v>
      </c>
      <c r="F203" s="4">
        <v>3.7876699999999999E-3</v>
      </c>
      <c r="G203" s="4">
        <v>1</v>
      </c>
      <c r="H203" s="4">
        <v>1</v>
      </c>
      <c r="I203" s="4">
        <v>1</v>
      </c>
      <c r="J203" s="4">
        <v>2</v>
      </c>
      <c r="K203" s="4" t="s">
        <v>423</v>
      </c>
      <c r="L203" s="4" t="s">
        <v>457</v>
      </c>
      <c r="M203" s="4" t="s">
        <v>34</v>
      </c>
      <c r="N203" s="4">
        <v>0</v>
      </c>
      <c r="O203" s="4">
        <v>1410.6794199999999</v>
      </c>
      <c r="P203" s="4" t="s">
        <v>30</v>
      </c>
      <c r="Q203" s="4" t="s">
        <v>30</v>
      </c>
      <c r="R203" s="4">
        <v>1.7669999999999999E-3</v>
      </c>
      <c r="S203" s="4">
        <v>1.452E-2</v>
      </c>
      <c r="T203" s="4">
        <v>1.96</v>
      </c>
    </row>
    <row r="204" spans="1:30" hidden="1" outlineLevel="1" collapsed="1" x14ac:dyDescent="0.2">
      <c r="A204" t="s">
        <v>34</v>
      </c>
      <c r="B204" s="4" t="s">
        <v>30</v>
      </c>
      <c r="C204" s="4" t="s">
        <v>458</v>
      </c>
      <c r="D204" s="4" t="s">
        <v>34</v>
      </c>
      <c r="E204" s="4">
        <v>0.103565</v>
      </c>
      <c r="F204" s="4">
        <v>3.7876699999999999E-3</v>
      </c>
      <c r="G204" s="4">
        <v>3</v>
      </c>
      <c r="H204" s="4">
        <v>6</v>
      </c>
      <c r="I204" s="4">
        <v>1</v>
      </c>
      <c r="J204" s="4">
        <v>2</v>
      </c>
      <c r="K204" s="4" t="s">
        <v>459</v>
      </c>
      <c r="L204" s="4" t="s">
        <v>460</v>
      </c>
      <c r="M204" s="4" t="s">
        <v>34</v>
      </c>
      <c r="N204" s="4">
        <v>0</v>
      </c>
      <c r="O204" s="4">
        <v>1203.63681</v>
      </c>
      <c r="P204" s="4" t="s">
        <v>30</v>
      </c>
      <c r="Q204" s="4" t="s">
        <v>30</v>
      </c>
      <c r="R204" s="4">
        <v>1.7669999999999999E-3</v>
      </c>
      <c r="S204" s="4">
        <v>4.9329999999999999E-2</v>
      </c>
      <c r="T204" s="4">
        <v>1.73</v>
      </c>
    </row>
    <row r="205" spans="1:30" hidden="1" outlineLevel="1" collapsed="1" x14ac:dyDescent="0.2">
      <c r="A205" t="s">
        <v>34</v>
      </c>
      <c r="B205" s="4" t="s">
        <v>30</v>
      </c>
      <c r="C205" s="4" t="s">
        <v>461</v>
      </c>
      <c r="D205" s="4" t="s">
        <v>34</v>
      </c>
      <c r="E205" s="4">
        <v>1.1501900000000001E-2</v>
      </c>
      <c r="F205" s="4">
        <v>3.7876699999999999E-3</v>
      </c>
      <c r="G205" s="4">
        <v>1</v>
      </c>
      <c r="H205" s="4">
        <v>1</v>
      </c>
      <c r="I205" s="4">
        <v>1</v>
      </c>
      <c r="J205" s="4">
        <v>1</v>
      </c>
      <c r="K205" s="4" t="s">
        <v>423</v>
      </c>
      <c r="L205" s="4" t="s">
        <v>462</v>
      </c>
      <c r="M205" s="4" t="s">
        <v>34</v>
      </c>
      <c r="N205" s="4">
        <v>0</v>
      </c>
      <c r="O205" s="4">
        <v>1194.57494</v>
      </c>
      <c r="P205" s="4" t="s">
        <v>30</v>
      </c>
      <c r="Q205" s="4" t="s">
        <v>30</v>
      </c>
      <c r="R205" s="4">
        <v>1.7669999999999999E-3</v>
      </c>
      <c r="S205" s="4">
        <v>4.1469999999999996E-3</v>
      </c>
      <c r="T205" s="4">
        <v>2.72</v>
      </c>
    </row>
    <row r="206" spans="1:30" collapsed="1" x14ac:dyDescent="0.2">
      <c r="A206" s="3" t="s">
        <v>30</v>
      </c>
      <c r="B206" s="3" t="s">
        <v>31</v>
      </c>
      <c r="C206" s="3" t="s">
        <v>463</v>
      </c>
      <c r="D206" s="3" t="s">
        <v>464</v>
      </c>
      <c r="E206" s="3">
        <v>0</v>
      </c>
      <c r="F206" s="3">
        <v>35.173000000000002</v>
      </c>
      <c r="G206" s="3">
        <v>36</v>
      </c>
      <c r="H206" s="3">
        <v>20</v>
      </c>
      <c r="I206" s="3">
        <v>20</v>
      </c>
      <c r="J206" s="3">
        <v>34</v>
      </c>
      <c r="K206" s="3">
        <v>2</v>
      </c>
      <c r="L206" s="3">
        <v>563</v>
      </c>
      <c r="M206" s="3">
        <v>59.8</v>
      </c>
      <c r="N206" s="3">
        <v>8</v>
      </c>
      <c r="O206" s="3">
        <v>38.82</v>
      </c>
      <c r="P206" s="3">
        <v>20</v>
      </c>
      <c r="Q206" s="3" t="s">
        <v>34</v>
      </c>
      <c r="R206" s="3" t="s">
        <v>34</v>
      </c>
      <c r="S206" s="3" t="s">
        <v>34</v>
      </c>
      <c r="T206" s="3" t="s">
        <v>34</v>
      </c>
      <c r="U206" s="3" t="s">
        <v>34</v>
      </c>
      <c r="V206" s="3" t="s">
        <v>463</v>
      </c>
      <c r="W206" s="3" t="s">
        <v>34</v>
      </c>
      <c r="X206" s="3" t="s">
        <v>34</v>
      </c>
      <c r="Y206" s="3" t="s">
        <v>34</v>
      </c>
      <c r="Z206" s="3" t="s">
        <v>34</v>
      </c>
      <c r="AA206" s="3">
        <v>0</v>
      </c>
      <c r="AB206" s="3" t="s">
        <v>30</v>
      </c>
      <c r="AC206" s="3">
        <v>1</v>
      </c>
      <c r="AD206" s="3" t="s">
        <v>34</v>
      </c>
    </row>
    <row r="207" spans="1:30" hidden="1" outlineLevel="1" collapsed="1" x14ac:dyDescent="0.2">
      <c r="A207" t="s">
        <v>34</v>
      </c>
      <c r="B207" s="2" t="s">
        <v>36</v>
      </c>
      <c r="C207" s="2" t="s">
        <v>37</v>
      </c>
      <c r="D207" s="2" t="s">
        <v>29</v>
      </c>
      <c r="E207" s="2" t="s">
        <v>38</v>
      </c>
      <c r="F207" s="2" t="s">
        <v>39</v>
      </c>
      <c r="G207" s="2" t="s">
        <v>28</v>
      </c>
      <c r="H207" s="2" t="s">
        <v>40</v>
      </c>
      <c r="I207" s="2" t="s">
        <v>8</v>
      </c>
      <c r="J207" s="2" t="s">
        <v>9</v>
      </c>
      <c r="K207" s="2" t="s">
        <v>41</v>
      </c>
      <c r="L207" s="2" t="s">
        <v>42</v>
      </c>
      <c r="M207" s="2" t="s">
        <v>43</v>
      </c>
      <c r="N207" s="2" t="s">
        <v>44</v>
      </c>
      <c r="O207" s="2" t="s">
        <v>45</v>
      </c>
      <c r="P207" s="2" t="s">
        <v>27</v>
      </c>
      <c r="Q207" s="2" t="s">
        <v>46</v>
      </c>
      <c r="R207" s="2" t="s">
        <v>47</v>
      </c>
      <c r="S207" s="2" t="s">
        <v>48</v>
      </c>
      <c r="T207" s="2" t="s">
        <v>49</v>
      </c>
    </row>
    <row r="208" spans="1:30" hidden="1" outlineLevel="1" collapsed="1" x14ac:dyDescent="0.2">
      <c r="A208" t="s">
        <v>34</v>
      </c>
      <c r="B208" s="4" t="s">
        <v>30</v>
      </c>
      <c r="C208" s="4" t="s">
        <v>465</v>
      </c>
      <c r="D208" s="4" t="s">
        <v>34</v>
      </c>
      <c r="E208" s="4">
        <v>3.2601700000000002E-3</v>
      </c>
      <c r="F208" s="4">
        <v>3.7876699999999999E-3</v>
      </c>
      <c r="G208" s="4">
        <v>2</v>
      </c>
      <c r="H208" s="4">
        <v>5</v>
      </c>
      <c r="I208" s="4">
        <v>1</v>
      </c>
      <c r="J208" s="4">
        <v>1</v>
      </c>
      <c r="K208" s="4" t="s">
        <v>466</v>
      </c>
      <c r="L208" s="4" t="s">
        <v>467</v>
      </c>
      <c r="M208" s="4" t="s">
        <v>34</v>
      </c>
      <c r="N208" s="4">
        <v>0</v>
      </c>
      <c r="O208" s="4">
        <v>1407.7114300000001</v>
      </c>
      <c r="P208" s="4" t="s">
        <v>30</v>
      </c>
      <c r="Q208" s="4" t="s">
        <v>30</v>
      </c>
      <c r="R208" s="4">
        <v>1.7669999999999999E-3</v>
      </c>
      <c r="S208" s="4">
        <v>1.016E-3</v>
      </c>
      <c r="T208" s="4">
        <v>2.13</v>
      </c>
    </row>
    <row r="209" spans="1:20" hidden="1" outlineLevel="1" collapsed="1" x14ac:dyDescent="0.2">
      <c r="A209" t="s">
        <v>34</v>
      </c>
      <c r="B209" s="4" t="s">
        <v>30</v>
      </c>
      <c r="C209" s="4" t="s">
        <v>468</v>
      </c>
      <c r="D209" s="4" t="s">
        <v>34</v>
      </c>
      <c r="E209" s="4">
        <v>4.0008599999999998E-2</v>
      </c>
      <c r="F209" s="4">
        <v>3.7876699999999999E-3</v>
      </c>
      <c r="G209" s="4">
        <v>2</v>
      </c>
      <c r="H209" s="4">
        <v>6</v>
      </c>
      <c r="I209" s="4">
        <v>1</v>
      </c>
      <c r="J209" s="4">
        <v>2</v>
      </c>
      <c r="K209" s="4" t="s">
        <v>466</v>
      </c>
      <c r="L209" s="4" t="s">
        <v>469</v>
      </c>
      <c r="M209" s="4" t="s">
        <v>34</v>
      </c>
      <c r="N209" s="4">
        <v>0</v>
      </c>
      <c r="O209" s="4">
        <v>1212.55314</v>
      </c>
      <c r="P209" s="4" t="s">
        <v>30</v>
      </c>
      <c r="Q209" s="4" t="s">
        <v>30</v>
      </c>
      <c r="R209" s="4">
        <v>1.7669999999999999E-3</v>
      </c>
      <c r="S209" s="4">
        <v>1.6799999999999999E-2</v>
      </c>
      <c r="T209" s="4">
        <v>2.1</v>
      </c>
    </row>
    <row r="210" spans="1:20" hidden="1" outlineLevel="1" collapsed="1" x14ac:dyDescent="0.2">
      <c r="A210" t="s">
        <v>34</v>
      </c>
      <c r="B210" s="4" t="s">
        <v>30</v>
      </c>
      <c r="C210" s="4" t="s">
        <v>218</v>
      </c>
      <c r="D210" s="4" t="s">
        <v>34</v>
      </c>
      <c r="E210" s="4">
        <v>3.4643399999999998E-2</v>
      </c>
      <c r="F210" s="4">
        <v>3.7876699999999999E-3</v>
      </c>
      <c r="G210" s="4">
        <v>4</v>
      </c>
      <c r="H210" s="4">
        <v>7</v>
      </c>
      <c r="I210" s="4">
        <v>1</v>
      </c>
      <c r="J210" s="4">
        <v>2</v>
      </c>
      <c r="K210" s="4" t="s">
        <v>219</v>
      </c>
      <c r="L210" s="4" t="s">
        <v>220</v>
      </c>
      <c r="M210" s="4" t="s">
        <v>34</v>
      </c>
      <c r="N210" s="4">
        <v>0</v>
      </c>
      <c r="O210" s="4">
        <v>1107.5429099999999</v>
      </c>
      <c r="P210" s="4" t="s">
        <v>30</v>
      </c>
      <c r="Q210" s="4" t="s">
        <v>30</v>
      </c>
      <c r="R210" s="4">
        <v>1.7669999999999999E-3</v>
      </c>
      <c r="S210" s="4">
        <v>1.43E-2</v>
      </c>
      <c r="T210" s="4">
        <v>2.1</v>
      </c>
    </row>
    <row r="211" spans="1:20" hidden="1" outlineLevel="1" collapsed="1" x14ac:dyDescent="0.2">
      <c r="A211" t="s">
        <v>34</v>
      </c>
      <c r="B211" s="4" t="s">
        <v>30</v>
      </c>
      <c r="C211" s="4" t="s">
        <v>470</v>
      </c>
      <c r="D211" s="4" t="s">
        <v>34</v>
      </c>
      <c r="E211" s="4">
        <v>2.9842400000000002E-2</v>
      </c>
      <c r="F211" s="4">
        <v>3.7876699999999999E-3</v>
      </c>
      <c r="G211" s="4">
        <v>1</v>
      </c>
      <c r="H211" s="4">
        <v>1</v>
      </c>
      <c r="I211" s="4">
        <v>1</v>
      </c>
      <c r="J211" s="4">
        <v>2</v>
      </c>
      <c r="K211" s="4" t="s">
        <v>463</v>
      </c>
      <c r="L211" s="4" t="s">
        <v>471</v>
      </c>
      <c r="M211" s="4" t="s">
        <v>34</v>
      </c>
      <c r="N211" s="4">
        <v>0</v>
      </c>
      <c r="O211" s="4">
        <v>1435.7387100000001</v>
      </c>
      <c r="P211" s="4" t="s">
        <v>30</v>
      </c>
      <c r="Q211" s="4" t="s">
        <v>30</v>
      </c>
      <c r="R211" s="4">
        <v>1.7669999999999999E-3</v>
      </c>
      <c r="S211" s="4">
        <v>1.209E-2</v>
      </c>
      <c r="T211" s="4">
        <v>2.4</v>
      </c>
    </row>
    <row r="212" spans="1:20" hidden="1" outlineLevel="1" collapsed="1" x14ac:dyDescent="0.2">
      <c r="A212" t="s">
        <v>34</v>
      </c>
      <c r="B212" s="4" t="s">
        <v>30</v>
      </c>
      <c r="C212" s="4" t="s">
        <v>427</v>
      </c>
      <c r="D212" s="4" t="s">
        <v>58</v>
      </c>
      <c r="E212" s="4">
        <v>5.15421E-2</v>
      </c>
      <c r="F212" s="4">
        <v>3.7876699999999999E-3</v>
      </c>
      <c r="G212" s="4">
        <v>4</v>
      </c>
      <c r="H212" s="4">
        <v>8</v>
      </c>
      <c r="I212" s="4">
        <v>1</v>
      </c>
      <c r="J212" s="4">
        <v>1</v>
      </c>
      <c r="K212" s="4" t="s">
        <v>428</v>
      </c>
      <c r="L212" s="4" t="s">
        <v>429</v>
      </c>
      <c r="M212" s="4" t="s">
        <v>34</v>
      </c>
      <c r="N212" s="4">
        <v>0</v>
      </c>
      <c r="O212" s="4">
        <v>1042.45099</v>
      </c>
      <c r="P212" s="4" t="s">
        <v>30</v>
      </c>
      <c r="Q212" s="4" t="s">
        <v>30</v>
      </c>
      <c r="R212" s="4">
        <v>1.7669999999999999E-3</v>
      </c>
      <c r="S212" s="4">
        <v>2.239E-2</v>
      </c>
      <c r="T212" s="4">
        <v>1.5</v>
      </c>
    </row>
    <row r="213" spans="1:20" hidden="1" outlineLevel="1" collapsed="1" x14ac:dyDescent="0.2">
      <c r="A213" t="s">
        <v>34</v>
      </c>
      <c r="B213" s="4" t="s">
        <v>30</v>
      </c>
      <c r="C213" s="4" t="s">
        <v>472</v>
      </c>
      <c r="D213" s="4" t="s">
        <v>61</v>
      </c>
      <c r="E213" s="4">
        <v>0.11576400000000001</v>
      </c>
      <c r="F213" s="4">
        <v>3.7876699999999999E-3</v>
      </c>
      <c r="G213" s="4">
        <v>2</v>
      </c>
      <c r="H213" s="4">
        <v>7</v>
      </c>
      <c r="I213" s="4">
        <v>1</v>
      </c>
      <c r="J213" s="4">
        <v>2</v>
      </c>
      <c r="K213" s="4" t="s">
        <v>466</v>
      </c>
      <c r="L213" s="4" t="s">
        <v>473</v>
      </c>
      <c r="M213" s="4" t="s">
        <v>34</v>
      </c>
      <c r="N213" s="4">
        <v>0</v>
      </c>
      <c r="O213" s="4">
        <v>1169.5507</v>
      </c>
      <c r="P213" s="4" t="s">
        <v>30</v>
      </c>
      <c r="Q213" s="4" t="s">
        <v>30</v>
      </c>
      <c r="R213" s="4">
        <v>1.7669999999999999E-3</v>
      </c>
      <c r="S213" s="4">
        <v>5.6329999999999998E-2</v>
      </c>
      <c r="T213" s="4">
        <v>2.02</v>
      </c>
    </row>
    <row r="214" spans="1:20" hidden="1" outlineLevel="1" collapsed="1" x14ac:dyDescent="0.2">
      <c r="A214" t="s">
        <v>34</v>
      </c>
      <c r="B214" s="4" t="s">
        <v>30</v>
      </c>
      <c r="C214" s="4" t="s">
        <v>228</v>
      </c>
      <c r="D214" s="4" t="s">
        <v>34</v>
      </c>
      <c r="E214" s="4">
        <v>5.2784499999999998E-2</v>
      </c>
      <c r="F214" s="4">
        <v>3.7876699999999999E-3</v>
      </c>
      <c r="G214" s="4">
        <v>10</v>
      </c>
      <c r="H214" s="4">
        <v>22</v>
      </c>
      <c r="I214" s="4">
        <v>1</v>
      </c>
      <c r="J214" s="4">
        <v>4</v>
      </c>
      <c r="K214" s="4" t="s">
        <v>229</v>
      </c>
      <c r="L214" s="4" t="s">
        <v>230</v>
      </c>
      <c r="M214" s="4" t="s">
        <v>34</v>
      </c>
      <c r="N214" s="4">
        <v>0</v>
      </c>
      <c r="O214" s="4">
        <v>827.42978000000005</v>
      </c>
      <c r="P214" s="4" t="s">
        <v>30</v>
      </c>
      <c r="Q214" s="4" t="s">
        <v>30</v>
      </c>
      <c r="R214" s="4">
        <v>1.7669999999999999E-3</v>
      </c>
      <c r="S214" s="4">
        <v>2.2929999999999999E-2</v>
      </c>
      <c r="T214" s="4">
        <v>1.3</v>
      </c>
    </row>
    <row r="215" spans="1:20" hidden="1" outlineLevel="1" collapsed="1" x14ac:dyDescent="0.2">
      <c r="A215" t="s">
        <v>34</v>
      </c>
      <c r="B215" s="4" t="s">
        <v>30</v>
      </c>
      <c r="C215" s="4" t="s">
        <v>432</v>
      </c>
      <c r="D215" s="4" t="s">
        <v>34</v>
      </c>
      <c r="E215" s="4">
        <v>0.108998</v>
      </c>
      <c r="F215" s="4">
        <v>3.7876699999999999E-3</v>
      </c>
      <c r="G215" s="4">
        <v>7</v>
      </c>
      <c r="H215" s="4">
        <v>22</v>
      </c>
      <c r="I215" s="4">
        <v>1</v>
      </c>
      <c r="J215" s="4">
        <v>1</v>
      </c>
      <c r="K215" s="4" t="s">
        <v>433</v>
      </c>
      <c r="L215" s="4" t="s">
        <v>434</v>
      </c>
      <c r="M215" s="4" t="s">
        <v>34</v>
      </c>
      <c r="N215" s="4">
        <v>0</v>
      </c>
      <c r="O215" s="4">
        <v>906.46795999999995</v>
      </c>
      <c r="P215" s="4" t="s">
        <v>30</v>
      </c>
      <c r="Q215" s="4" t="s">
        <v>30</v>
      </c>
      <c r="R215" s="4">
        <v>1.7669999999999999E-3</v>
      </c>
      <c r="S215" s="4">
        <v>5.2359999999999997E-2</v>
      </c>
      <c r="T215" s="4">
        <v>1.41</v>
      </c>
    </row>
    <row r="216" spans="1:20" hidden="1" outlineLevel="1" collapsed="1" x14ac:dyDescent="0.2">
      <c r="A216" t="s">
        <v>34</v>
      </c>
      <c r="B216" s="4" t="s">
        <v>30</v>
      </c>
      <c r="C216" s="4" t="s">
        <v>474</v>
      </c>
      <c r="D216" s="4" t="s">
        <v>475</v>
      </c>
      <c r="E216" s="4">
        <v>0.218588</v>
      </c>
      <c r="F216" s="4">
        <v>9.5666499999999995E-3</v>
      </c>
      <c r="G216" s="4">
        <v>2</v>
      </c>
      <c r="H216" s="4">
        <v>4</v>
      </c>
      <c r="I216" s="4">
        <v>1</v>
      </c>
      <c r="J216" s="4">
        <v>1</v>
      </c>
      <c r="K216" s="4" t="s">
        <v>466</v>
      </c>
      <c r="L216" s="4" t="s">
        <v>476</v>
      </c>
      <c r="M216" s="4" t="s">
        <v>34</v>
      </c>
      <c r="N216" s="4">
        <v>0</v>
      </c>
      <c r="O216" s="4">
        <v>1424.63354</v>
      </c>
      <c r="P216" s="4" t="s">
        <v>30</v>
      </c>
      <c r="Q216" s="4" t="s">
        <v>30</v>
      </c>
      <c r="R216" s="4">
        <v>4.1380000000000002E-3</v>
      </c>
      <c r="S216" s="4">
        <v>0.1181</v>
      </c>
      <c r="T216" s="4">
        <v>1.5</v>
      </c>
    </row>
    <row r="217" spans="1:20" hidden="1" outlineLevel="1" collapsed="1" x14ac:dyDescent="0.2">
      <c r="A217" t="s">
        <v>34</v>
      </c>
      <c r="B217" s="4" t="s">
        <v>30</v>
      </c>
      <c r="C217" s="4" t="s">
        <v>437</v>
      </c>
      <c r="D217" s="4" t="s">
        <v>374</v>
      </c>
      <c r="E217" s="4">
        <v>0.110525</v>
      </c>
      <c r="F217" s="4">
        <v>3.7876699999999999E-3</v>
      </c>
      <c r="G217" s="4">
        <v>4</v>
      </c>
      <c r="H217" s="4">
        <v>8</v>
      </c>
      <c r="I217" s="4">
        <v>1</v>
      </c>
      <c r="J217" s="4">
        <v>1</v>
      </c>
      <c r="K217" s="4" t="s">
        <v>428</v>
      </c>
      <c r="L217" s="4" t="s">
        <v>438</v>
      </c>
      <c r="M217" s="4" t="s">
        <v>34</v>
      </c>
      <c r="N217" s="4">
        <v>1</v>
      </c>
      <c r="O217" s="4">
        <v>1170.5459499999999</v>
      </c>
      <c r="P217" s="4" t="s">
        <v>30</v>
      </c>
      <c r="Q217" s="4" t="s">
        <v>30</v>
      </c>
      <c r="R217" s="4">
        <v>1.7669999999999999E-3</v>
      </c>
      <c r="S217" s="4">
        <v>5.3400000000000003E-2</v>
      </c>
      <c r="T217" s="4">
        <v>1.24</v>
      </c>
    </row>
    <row r="218" spans="1:20" hidden="1" outlineLevel="1" collapsed="1" x14ac:dyDescent="0.2">
      <c r="A218" t="s">
        <v>34</v>
      </c>
      <c r="B218" s="4" t="s">
        <v>30</v>
      </c>
      <c r="C218" s="4" t="s">
        <v>245</v>
      </c>
      <c r="D218" s="4" t="s">
        <v>148</v>
      </c>
      <c r="E218" s="4">
        <v>0.104048</v>
      </c>
      <c r="F218" s="4">
        <v>3.7876699999999999E-3</v>
      </c>
      <c r="G218" s="4">
        <v>6</v>
      </c>
      <c r="H218" s="4">
        <v>13</v>
      </c>
      <c r="I218" s="4">
        <v>1</v>
      </c>
      <c r="J218" s="4">
        <v>1</v>
      </c>
      <c r="K218" s="4" t="s">
        <v>246</v>
      </c>
      <c r="L218" s="4" t="s">
        <v>247</v>
      </c>
      <c r="M218" s="4" t="s">
        <v>34</v>
      </c>
      <c r="N218" s="4">
        <v>0</v>
      </c>
      <c r="O218" s="4">
        <v>1005.4669699999999</v>
      </c>
      <c r="P218" s="4" t="s">
        <v>30</v>
      </c>
      <c r="Q218" s="4" t="s">
        <v>30</v>
      </c>
      <c r="R218" s="4">
        <v>1.7669999999999999E-3</v>
      </c>
      <c r="S218" s="4">
        <v>4.972E-2</v>
      </c>
      <c r="T218" s="4">
        <v>1.21</v>
      </c>
    </row>
    <row r="219" spans="1:20" hidden="1" outlineLevel="1" collapsed="1" x14ac:dyDescent="0.2">
      <c r="A219" t="s">
        <v>34</v>
      </c>
      <c r="B219" s="4" t="s">
        <v>30</v>
      </c>
      <c r="C219" s="4" t="s">
        <v>477</v>
      </c>
      <c r="D219" s="4" t="s">
        <v>478</v>
      </c>
      <c r="E219" s="4">
        <v>7.8416100000000006E-3</v>
      </c>
      <c r="F219" s="4">
        <v>3.7876699999999999E-3</v>
      </c>
      <c r="G219" s="4">
        <v>2</v>
      </c>
      <c r="H219" s="4">
        <v>4</v>
      </c>
      <c r="I219" s="4">
        <v>1</v>
      </c>
      <c r="J219" s="4">
        <v>2</v>
      </c>
      <c r="K219" s="4" t="s">
        <v>466</v>
      </c>
      <c r="L219" s="4" t="s">
        <v>479</v>
      </c>
      <c r="M219" s="4" t="s">
        <v>34</v>
      </c>
      <c r="N219" s="4">
        <v>0</v>
      </c>
      <c r="O219" s="4">
        <v>1598.7591299999999</v>
      </c>
      <c r="P219" s="4" t="s">
        <v>30</v>
      </c>
      <c r="Q219" s="4" t="s">
        <v>30</v>
      </c>
      <c r="R219" s="4">
        <v>1.7669999999999999E-3</v>
      </c>
      <c r="S219" s="4">
        <v>2.7079999999999999E-3</v>
      </c>
      <c r="T219" s="4">
        <v>1.41</v>
      </c>
    </row>
    <row r="220" spans="1:20" hidden="1" outlineLevel="1" collapsed="1" x14ac:dyDescent="0.2">
      <c r="A220" t="s">
        <v>34</v>
      </c>
      <c r="B220" s="4" t="s">
        <v>30</v>
      </c>
      <c r="C220" s="4" t="s">
        <v>88</v>
      </c>
      <c r="D220" s="4" t="s">
        <v>34</v>
      </c>
      <c r="E220" s="4">
        <v>1.6149699999999999E-2</v>
      </c>
      <c r="F220" s="4">
        <v>3.7876699999999999E-3</v>
      </c>
      <c r="G220" s="4">
        <v>4</v>
      </c>
      <c r="H220" s="4">
        <v>10</v>
      </c>
      <c r="I220" s="4">
        <v>1</v>
      </c>
      <c r="J220" s="4">
        <v>6</v>
      </c>
      <c r="K220" s="4" t="s">
        <v>89</v>
      </c>
      <c r="L220" s="4" t="s">
        <v>90</v>
      </c>
      <c r="M220" s="4" t="s">
        <v>34</v>
      </c>
      <c r="N220" s="4">
        <v>2</v>
      </c>
      <c r="O220" s="4">
        <v>1308.65425</v>
      </c>
      <c r="P220" s="4" t="s">
        <v>30</v>
      </c>
      <c r="Q220" s="4" t="s">
        <v>30</v>
      </c>
      <c r="R220" s="4">
        <v>1.7669999999999999E-3</v>
      </c>
      <c r="S220" s="4">
        <v>6.0530000000000002E-3</v>
      </c>
      <c r="T220" s="4">
        <v>2.8</v>
      </c>
    </row>
    <row r="221" spans="1:20" hidden="1" outlineLevel="1" collapsed="1" x14ac:dyDescent="0.2">
      <c r="A221" t="s">
        <v>34</v>
      </c>
      <c r="B221" s="4" t="s">
        <v>30</v>
      </c>
      <c r="C221" s="4" t="s">
        <v>250</v>
      </c>
      <c r="D221" s="4" t="s">
        <v>34</v>
      </c>
      <c r="E221" s="4">
        <v>3.7771199999999998E-2</v>
      </c>
      <c r="F221" s="4">
        <v>3.7876699999999999E-3</v>
      </c>
      <c r="G221" s="4">
        <v>4</v>
      </c>
      <c r="H221" s="4">
        <v>9</v>
      </c>
      <c r="I221" s="4">
        <v>1</v>
      </c>
      <c r="J221" s="4">
        <v>1</v>
      </c>
      <c r="K221" s="4" t="s">
        <v>251</v>
      </c>
      <c r="L221" s="4" t="s">
        <v>252</v>
      </c>
      <c r="M221" s="4" t="s">
        <v>34</v>
      </c>
      <c r="N221" s="4">
        <v>0</v>
      </c>
      <c r="O221" s="4">
        <v>1329.7260200000001</v>
      </c>
      <c r="P221" s="4" t="s">
        <v>30</v>
      </c>
      <c r="Q221" s="4" t="s">
        <v>30</v>
      </c>
      <c r="R221" s="4">
        <v>1.7669999999999999E-3</v>
      </c>
      <c r="S221" s="4">
        <v>1.5740000000000001E-2</v>
      </c>
      <c r="T221" s="4">
        <v>2.2799999999999998</v>
      </c>
    </row>
    <row r="222" spans="1:20" hidden="1" outlineLevel="1" collapsed="1" x14ac:dyDescent="0.2">
      <c r="A222" t="s">
        <v>34</v>
      </c>
      <c r="B222" s="4" t="s">
        <v>30</v>
      </c>
      <c r="C222" s="4" t="s">
        <v>480</v>
      </c>
      <c r="D222" s="4" t="s">
        <v>442</v>
      </c>
      <c r="E222" s="4">
        <v>3.2543999999999997E-2</v>
      </c>
      <c r="F222" s="4">
        <v>3.7876699999999999E-3</v>
      </c>
      <c r="G222" s="4">
        <v>1</v>
      </c>
      <c r="H222" s="4">
        <v>3</v>
      </c>
      <c r="I222" s="4">
        <v>1</v>
      </c>
      <c r="J222" s="4">
        <v>1</v>
      </c>
      <c r="K222" s="4" t="s">
        <v>463</v>
      </c>
      <c r="L222" s="4" t="s">
        <v>481</v>
      </c>
      <c r="M222" s="4" t="s">
        <v>34</v>
      </c>
      <c r="N222" s="4">
        <v>0</v>
      </c>
      <c r="O222" s="4">
        <v>1220.5827300000001</v>
      </c>
      <c r="P222" s="4" t="s">
        <v>30</v>
      </c>
      <c r="Q222" s="4" t="s">
        <v>30</v>
      </c>
      <c r="R222" s="4">
        <v>1.7669999999999999E-3</v>
      </c>
      <c r="S222" s="4">
        <v>1.3299999999999999E-2</v>
      </c>
      <c r="T222" s="4">
        <v>2.11</v>
      </c>
    </row>
    <row r="223" spans="1:20" hidden="1" outlineLevel="1" collapsed="1" x14ac:dyDescent="0.2">
      <c r="A223" t="s">
        <v>34</v>
      </c>
      <c r="B223" s="4" t="s">
        <v>30</v>
      </c>
      <c r="C223" s="4" t="s">
        <v>482</v>
      </c>
      <c r="D223" s="4" t="s">
        <v>34</v>
      </c>
      <c r="E223" s="4">
        <v>9.3898700000000002E-2</v>
      </c>
      <c r="F223" s="4">
        <v>3.7876699999999999E-3</v>
      </c>
      <c r="G223" s="4">
        <v>2</v>
      </c>
      <c r="H223" s="4">
        <v>5</v>
      </c>
      <c r="I223" s="4">
        <v>1</v>
      </c>
      <c r="J223" s="4">
        <v>1</v>
      </c>
      <c r="K223" s="4" t="s">
        <v>466</v>
      </c>
      <c r="L223" s="4" t="s">
        <v>483</v>
      </c>
      <c r="M223" s="4" t="s">
        <v>34</v>
      </c>
      <c r="N223" s="4">
        <v>0</v>
      </c>
      <c r="O223" s="4">
        <v>972.51088000000004</v>
      </c>
      <c r="P223" s="4" t="s">
        <v>30</v>
      </c>
      <c r="Q223" s="4" t="s">
        <v>30</v>
      </c>
      <c r="R223" s="4">
        <v>1.7669999999999999E-3</v>
      </c>
      <c r="S223" s="4">
        <v>4.4110000000000003E-2</v>
      </c>
      <c r="T223" s="4">
        <v>1.51</v>
      </c>
    </row>
    <row r="224" spans="1:20" hidden="1" outlineLevel="1" collapsed="1" x14ac:dyDescent="0.2">
      <c r="A224" t="s">
        <v>34</v>
      </c>
      <c r="B224" s="4" t="s">
        <v>30</v>
      </c>
      <c r="C224" s="4" t="s">
        <v>484</v>
      </c>
      <c r="D224" s="4" t="s">
        <v>34</v>
      </c>
      <c r="E224" s="4">
        <v>5.8051899999999997E-2</v>
      </c>
      <c r="F224" s="4">
        <v>3.7876699999999999E-3</v>
      </c>
      <c r="G224" s="4">
        <v>2</v>
      </c>
      <c r="H224" s="4">
        <v>3</v>
      </c>
      <c r="I224" s="4">
        <v>1</v>
      </c>
      <c r="J224" s="4">
        <v>1</v>
      </c>
      <c r="K224" s="4" t="s">
        <v>466</v>
      </c>
      <c r="L224" s="4" t="s">
        <v>485</v>
      </c>
      <c r="M224" s="4" t="s">
        <v>34</v>
      </c>
      <c r="N224" s="4">
        <v>0</v>
      </c>
      <c r="O224" s="4">
        <v>1026.52145</v>
      </c>
      <c r="P224" s="4" t="s">
        <v>30</v>
      </c>
      <c r="Q224" s="4" t="s">
        <v>30</v>
      </c>
      <c r="R224" s="4">
        <v>1.7669999999999999E-3</v>
      </c>
      <c r="S224" s="4">
        <v>2.5499999999999998E-2</v>
      </c>
      <c r="T224" s="4">
        <v>1.5</v>
      </c>
    </row>
    <row r="225" spans="1:30" hidden="1" outlineLevel="1" collapsed="1" x14ac:dyDescent="0.2">
      <c r="A225" t="s">
        <v>34</v>
      </c>
      <c r="B225" s="4" t="s">
        <v>30</v>
      </c>
      <c r="C225" s="4" t="s">
        <v>486</v>
      </c>
      <c r="D225" s="4" t="s">
        <v>34</v>
      </c>
      <c r="E225" s="4">
        <v>2.5698100000000001E-2</v>
      </c>
      <c r="F225" s="4">
        <v>3.7876699999999999E-3</v>
      </c>
      <c r="G225" s="4">
        <v>2</v>
      </c>
      <c r="H225" s="4">
        <v>5</v>
      </c>
      <c r="I225" s="4">
        <v>1</v>
      </c>
      <c r="J225" s="4">
        <v>1</v>
      </c>
      <c r="K225" s="4" t="s">
        <v>466</v>
      </c>
      <c r="L225" s="4" t="s">
        <v>487</v>
      </c>
      <c r="M225" s="4" t="s">
        <v>34</v>
      </c>
      <c r="N225" s="4">
        <v>0</v>
      </c>
      <c r="O225" s="4">
        <v>1222.63139</v>
      </c>
      <c r="P225" s="4" t="s">
        <v>30</v>
      </c>
      <c r="Q225" s="4" t="s">
        <v>30</v>
      </c>
      <c r="R225" s="4">
        <v>1.7669999999999999E-3</v>
      </c>
      <c r="S225" s="4">
        <v>1.018E-2</v>
      </c>
      <c r="T225" s="4">
        <v>1.78</v>
      </c>
    </row>
    <row r="226" spans="1:30" hidden="1" outlineLevel="1" collapsed="1" x14ac:dyDescent="0.2">
      <c r="A226" t="s">
        <v>34</v>
      </c>
      <c r="B226" s="4" t="s">
        <v>30</v>
      </c>
      <c r="C226" s="4" t="s">
        <v>458</v>
      </c>
      <c r="D226" s="4" t="s">
        <v>34</v>
      </c>
      <c r="E226" s="4">
        <v>0.103565</v>
      </c>
      <c r="F226" s="4">
        <v>3.7876699999999999E-3</v>
      </c>
      <c r="G226" s="4">
        <v>3</v>
      </c>
      <c r="H226" s="4">
        <v>6</v>
      </c>
      <c r="I226" s="4">
        <v>1</v>
      </c>
      <c r="J226" s="4">
        <v>2</v>
      </c>
      <c r="K226" s="4" t="s">
        <v>459</v>
      </c>
      <c r="L226" s="4" t="s">
        <v>460</v>
      </c>
      <c r="M226" s="4" t="s">
        <v>34</v>
      </c>
      <c r="N226" s="4">
        <v>0</v>
      </c>
      <c r="O226" s="4">
        <v>1203.63681</v>
      </c>
      <c r="P226" s="4" t="s">
        <v>30</v>
      </c>
      <c r="Q226" s="4" t="s">
        <v>30</v>
      </c>
      <c r="R226" s="4">
        <v>1.7669999999999999E-3</v>
      </c>
      <c r="S226" s="4">
        <v>4.9329999999999999E-2</v>
      </c>
      <c r="T226" s="4">
        <v>1.73</v>
      </c>
    </row>
    <row r="227" spans="1:30" hidden="1" outlineLevel="1" collapsed="1" x14ac:dyDescent="0.2">
      <c r="A227" t="s">
        <v>34</v>
      </c>
      <c r="B227" s="4" t="s">
        <v>30</v>
      </c>
      <c r="C227" s="4" t="s">
        <v>488</v>
      </c>
      <c r="D227" s="4" t="s">
        <v>34</v>
      </c>
      <c r="E227" s="4">
        <v>7.2211300000000001E-3</v>
      </c>
      <c r="F227" s="4">
        <v>3.7876699999999999E-3</v>
      </c>
      <c r="G227" s="4">
        <v>2</v>
      </c>
      <c r="H227" s="4">
        <v>6</v>
      </c>
      <c r="I227" s="4">
        <v>1</v>
      </c>
      <c r="J227" s="4">
        <v>1</v>
      </c>
      <c r="K227" s="4" t="s">
        <v>466</v>
      </c>
      <c r="L227" s="4" t="s">
        <v>489</v>
      </c>
      <c r="M227" s="4" t="s">
        <v>34</v>
      </c>
      <c r="N227" s="4">
        <v>0</v>
      </c>
      <c r="O227" s="4">
        <v>1165.5847799999999</v>
      </c>
      <c r="P227" s="4" t="s">
        <v>30</v>
      </c>
      <c r="Q227" s="4" t="s">
        <v>30</v>
      </c>
      <c r="R227" s="4">
        <v>1.7669999999999999E-3</v>
      </c>
      <c r="S227" s="4">
        <v>2.4740000000000001E-3</v>
      </c>
      <c r="T227" s="4">
        <v>2.7</v>
      </c>
    </row>
    <row r="228" spans="1:30" collapsed="1" x14ac:dyDescent="0.2">
      <c r="A228" s="3" t="s">
        <v>30</v>
      </c>
      <c r="B228" s="3" t="s">
        <v>31</v>
      </c>
      <c r="C228" s="3" t="s">
        <v>490</v>
      </c>
      <c r="D228" s="3" t="s">
        <v>491</v>
      </c>
      <c r="E228" s="3">
        <v>0</v>
      </c>
      <c r="F228" s="3">
        <v>34.606999999999999</v>
      </c>
      <c r="G228" s="3">
        <v>36</v>
      </c>
      <c r="H228" s="3">
        <v>20</v>
      </c>
      <c r="I228" s="3">
        <v>20</v>
      </c>
      <c r="J228" s="3">
        <v>33</v>
      </c>
      <c r="K228" s="3">
        <v>2</v>
      </c>
      <c r="L228" s="3">
        <v>563</v>
      </c>
      <c r="M228" s="3">
        <v>60</v>
      </c>
      <c r="N228" s="3">
        <v>8</v>
      </c>
      <c r="O228" s="3">
        <v>35.76</v>
      </c>
      <c r="P228" s="3">
        <v>20</v>
      </c>
      <c r="Q228" s="3" t="s">
        <v>34</v>
      </c>
      <c r="R228" s="3" t="s">
        <v>34</v>
      </c>
      <c r="S228" s="3" t="s">
        <v>34</v>
      </c>
      <c r="T228" s="3" t="s">
        <v>34</v>
      </c>
      <c r="U228" s="3" t="s">
        <v>34</v>
      </c>
      <c r="V228" s="3" t="s">
        <v>490</v>
      </c>
      <c r="W228" s="3" t="s">
        <v>34</v>
      </c>
      <c r="X228" s="3" t="s">
        <v>34</v>
      </c>
      <c r="Y228" s="3" t="s">
        <v>34</v>
      </c>
      <c r="Z228" s="3" t="s">
        <v>34</v>
      </c>
      <c r="AA228" s="3">
        <v>0</v>
      </c>
      <c r="AB228" s="3" t="s">
        <v>30</v>
      </c>
      <c r="AC228" s="3">
        <v>1</v>
      </c>
      <c r="AD228" s="3" t="s">
        <v>34</v>
      </c>
    </row>
    <row r="229" spans="1:30" hidden="1" outlineLevel="1" collapsed="1" x14ac:dyDescent="0.2">
      <c r="A229" t="s">
        <v>34</v>
      </c>
      <c r="B229" s="2" t="s">
        <v>36</v>
      </c>
      <c r="C229" s="2" t="s">
        <v>37</v>
      </c>
      <c r="D229" s="2" t="s">
        <v>29</v>
      </c>
      <c r="E229" s="2" t="s">
        <v>38</v>
      </c>
      <c r="F229" s="2" t="s">
        <v>39</v>
      </c>
      <c r="G229" s="2" t="s">
        <v>28</v>
      </c>
      <c r="H229" s="2" t="s">
        <v>40</v>
      </c>
      <c r="I229" s="2" t="s">
        <v>8</v>
      </c>
      <c r="J229" s="2" t="s">
        <v>9</v>
      </c>
      <c r="K229" s="2" t="s">
        <v>41</v>
      </c>
      <c r="L229" s="2" t="s">
        <v>42</v>
      </c>
      <c r="M229" s="2" t="s">
        <v>43</v>
      </c>
      <c r="N229" s="2" t="s">
        <v>44</v>
      </c>
      <c r="O229" s="2" t="s">
        <v>45</v>
      </c>
      <c r="P229" s="2" t="s">
        <v>27</v>
      </c>
      <c r="Q229" s="2" t="s">
        <v>46</v>
      </c>
      <c r="R229" s="2" t="s">
        <v>47</v>
      </c>
      <c r="S229" s="2" t="s">
        <v>48</v>
      </c>
      <c r="T229" s="2" t="s">
        <v>49</v>
      </c>
    </row>
    <row r="230" spans="1:30" hidden="1" outlineLevel="1" collapsed="1" x14ac:dyDescent="0.2">
      <c r="A230" t="s">
        <v>34</v>
      </c>
      <c r="B230" s="4" t="s">
        <v>30</v>
      </c>
      <c r="C230" s="4" t="s">
        <v>465</v>
      </c>
      <c r="D230" s="4" t="s">
        <v>34</v>
      </c>
      <c r="E230" s="4">
        <v>3.2601700000000002E-3</v>
      </c>
      <c r="F230" s="4">
        <v>3.7876699999999999E-3</v>
      </c>
      <c r="G230" s="4">
        <v>2</v>
      </c>
      <c r="H230" s="4">
        <v>5</v>
      </c>
      <c r="I230" s="4">
        <v>1</v>
      </c>
      <c r="J230" s="4">
        <v>1</v>
      </c>
      <c r="K230" s="4" t="s">
        <v>466</v>
      </c>
      <c r="L230" s="4" t="s">
        <v>467</v>
      </c>
      <c r="M230" s="4" t="s">
        <v>34</v>
      </c>
      <c r="N230" s="4">
        <v>0</v>
      </c>
      <c r="O230" s="4">
        <v>1407.7114300000001</v>
      </c>
      <c r="P230" s="4" t="s">
        <v>30</v>
      </c>
      <c r="Q230" s="4" t="s">
        <v>30</v>
      </c>
      <c r="R230" s="4">
        <v>1.7669999999999999E-3</v>
      </c>
      <c r="S230" s="4">
        <v>1.016E-3</v>
      </c>
      <c r="T230" s="4">
        <v>2.13</v>
      </c>
    </row>
    <row r="231" spans="1:30" hidden="1" outlineLevel="1" collapsed="1" x14ac:dyDescent="0.2">
      <c r="A231" t="s">
        <v>34</v>
      </c>
      <c r="B231" s="4" t="s">
        <v>30</v>
      </c>
      <c r="C231" s="4" t="s">
        <v>468</v>
      </c>
      <c r="D231" s="4" t="s">
        <v>34</v>
      </c>
      <c r="E231" s="4">
        <v>4.0008599999999998E-2</v>
      </c>
      <c r="F231" s="4">
        <v>3.7876699999999999E-3</v>
      </c>
      <c r="G231" s="4">
        <v>2</v>
      </c>
      <c r="H231" s="4">
        <v>6</v>
      </c>
      <c r="I231" s="4">
        <v>1</v>
      </c>
      <c r="J231" s="4">
        <v>2</v>
      </c>
      <c r="K231" s="4" t="s">
        <v>466</v>
      </c>
      <c r="L231" s="4" t="s">
        <v>469</v>
      </c>
      <c r="M231" s="4" t="s">
        <v>34</v>
      </c>
      <c r="N231" s="4">
        <v>0</v>
      </c>
      <c r="O231" s="4">
        <v>1212.55314</v>
      </c>
      <c r="P231" s="4" t="s">
        <v>30</v>
      </c>
      <c r="Q231" s="4" t="s">
        <v>30</v>
      </c>
      <c r="R231" s="4">
        <v>1.7669999999999999E-3</v>
      </c>
      <c r="S231" s="4">
        <v>1.6799999999999999E-2</v>
      </c>
      <c r="T231" s="4">
        <v>2.1</v>
      </c>
    </row>
    <row r="232" spans="1:30" hidden="1" outlineLevel="1" collapsed="1" x14ac:dyDescent="0.2">
      <c r="A232" t="s">
        <v>34</v>
      </c>
      <c r="B232" s="4" t="s">
        <v>30</v>
      </c>
      <c r="C232" s="4" t="s">
        <v>492</v>
      </c>
      <c r="D232" s="4" t="s">
        <v>34</v>
      </c>
      <c r="E232" s="4">
        <v>0.12520300000000001</v>
      </c>
      <c r="F232" s="4">
        <v>3.7876699999999999E-3</v>
      </c>
      <c r="G232" s="4">
        <v>1</v>
      </c>
      <c r="H232" s="4">
        <v>4</v>
      </c>
      <c r="I232" s="4">
        <v>1</v>
      </c>
      <c r="J232" s="4">
        <v>1</v>
      </c>
      <c r="K232" s="4" t="s">
        <v>490</v>
      </c>
      <c r="L232" s="4" t="s">
        <v>493</v>
      </c>
      <c r="M232" s="4" t="s">
        <v>34</v>
      </c>
      <c r="N232" s="4">
        <v>0</v>
      </c>
      <c r="O232" s="4">
        <v>1447.7751000000001</v>
      </c>
      <c r="P232" s="4" t="s">
        <v>30</v>
      </c>
      <c r="Q232" s="4" t="s">
        <v>30</v>
      </c>
      <c r="R232" s="4">
        <v>1.7669999999999999E-3</v>
      </c>
      <c r="S232" s="4">
        <v>6.157E-2</v>
      </c>
      <c r="T232" s="4">
        <v>1.76</v>
      </c>
    </row>
    <row r="233" spans="1:30" hidden="1" outlineLevel="1" collapsed="1" x14ac:dyDescent="0.2">
      <c r="A233" t="s">
        <v>34</v>
      </c>
      <c r="B233" s="4" t="s">
        <v>30</v>
      </c>
      <c r="C233" s="4" t="s">
        <v>218</v>
      </c>
      <c r="D233" s="4" t="s">
        <v>34</v>
      </c>
      <c r="E233" s="4">
        <v>3.4643399999999998E-2</v>
      </c>
      <c r="F233" s="4">
        <v>3.7876699999999999E-3</v>
      </c>
      <c r="G233" s="4">
        <v>4</v>
      </c>
      <c r="H233" s="4">
        <v>7</v>
      </c>
      <c r="I233" s="4">
        <v>1</v>
      </c>
      <c r="J233" s="4">
        <v>2</v>
      </c>
      <c r="K233" s="4" t="s">
        <v>219</v>
      </c>
      <c r="L233" s="4" t="s">
        <v>220</v>
      </c>
      <c r="M233" s="4" t="s">
        <v>34</v>
      </c>
      <c r="N233" s="4">
        <v>0</v>
      </c>
      <c r="O233" s="4">
        <v>1107.5429099999999</v>
      </c>
      <c r="P233" s="4" t="s">
        <v>30</v>
      </c>
      <c r="Q233" s="4" t="s">
        <v>30</v>
      </c>
      <c r="R233" s="4">
        <v>1.7669999999999999E-3</v>
      </c>
      <c r="S233" s="4">
        <v>1.43E-2</v>
      </c>
      <c r="T233" s="4">
        <v>2.1</v>
      </c>
    </row>
    <row r="234" spans="1:30" hidden="1" outlineLevel="1" collapsed="1" x14ac:dyDescent="0.2">
      <c r="A234" t="s">
        <v>34</v>
      </c>
      <c r="B234" s="4" t="s">
        <v>30</v>
      </c>
      <c r="C234" s="4" t="s">
        <v>427</v>
      </c>
      <c r="D234" s="4" t="s">
        <v>58</v>
      </c>
      <c r="E234" s="4">
        <v>5.15421E-2</v>
      </c>
      <c r="F234" s="4">
        <v>3.7876699999999999E-3</v>
      </c>
      <c r="G234" s="4">
        <v>4</v>
      </c>
      <c r="H234" s="4">
        <v>8</v>
      </c>
      <c r="I234" s="4">
        <v>1</v>
      </c>
      <c r="J234" s="4">
        <v>1</v>
      </c>
      <c r="K234" s="4" t="s">
        <v>428</v>
      </c>
      <c r="L234" s="4" t="s">
        <v>429</v>
      </c>
      <c r="M234" s="4" t="s">
        <v>34</v>
      </c>
      <c r="N234" s="4">
        <v>0</v>
      </c>
      <c r="O234" s="4">
        <v>1042.45099</v>
      </c>
      <c r="P234" s="4" t="s">
        <v>30</v>
      </c>
      <c r="Q234" s="4" t="s">
        <v>30</v>
      </c>
      <c r="R234" s="4">
        <v>1.7669999999999999E-3</v>
      </c>
      <c r="S234" s="4">
        <v>2.239E-2</v>
      </c>
      <c r="T234" s="4">
        <v>1.5</v>
      </c>
    </row>
    <row r="235" spans="1:30" hidden="1" outlineLevel="1" collapsed="1" x14ac:dyDescent="0.2">
      <c r="A235" t="s">
        <v>34</v>
      </c>
      <c r="B235" s="4" t="s">
        <v>30</v>
      </c>
      <c r="C235" s="4" t="s">
        <v>472</v>
      </c>
      <c r="D235" s="4" t="s">
        <v>61</v>
      </c>
      <c r="E235" s="4">
        <v>0.11576400000000001</v>
      </c>
      <c r="F235" s="4">
        <v>3.7876699999999999E-3</v>
      </c>
      <c r="G235" s="4">
        <v>2</v>
      </c>
      <c r="H235" s="4">
        <v>7</v>
      </c>
      <c r="I235" s="4">
        <v>1</v>
      </c>
      <c r="J235" s="4">
        <v>2</v>
      </c>
      <c r="K235" s="4" t="s">
        <v>466</v>
      </c>
      <c r="L235" s="4" t="s">
        <v>473</v>
      </c>
      <c r="M235" s="4" t="s">
        <v>34</v>
      </c>
      <c r="N235" s="4">
        <v>0</v>
      </c>
      <c r="O235" s="4">
        <v>1169.5507</v>
      </c>
      <c r="P235" s="4" t="s">
        <v>30</v>
      </c>
      <c r="Q235" s="4" t="s">
        <v>30</v>
      </c>
      <c r="R235" s="4">
        <v>1.7669999999999999E-3</v>
      </c>
      <c r="S235" s="4">
        <v>5.6329999999999998E-2</v>
      </c>
      <c r="T235" s="4">
        <v>2.02</v>
      </c>
    </row>
    <row r="236" spans="1:30" hidden="1" outlineLevel="1" collapsed="1" x14ac:dyDescent="0.2">
      <c r="A236" t="s">
        <v>34</v>
      </c>
      <c r="B236" s="4" t="s">
        <v>30</v>
      </c>
      <c r="C236" s="4" t="s">
        <v>228</v>
      </c>
      <c r="D236" s="4" t="s">
        <v>34</v>
      </c>
      <c r="E236" s="4">
        <v>5.2784499999999998E-2</v>
      </c>
      <c r="F236" s="4">
        <v>3.7876699999999999E-3</v>
      </c>
      <c r="G236" s="4">
        <v>10</v>
      </c>
      <c r="H236" s="4">
        <v>22</v>
      </c>
      <c r="I236" s="4">
        <v>1</v>
      </c>
      <c r="J236" s="4">
        <v>4</v>
      </c>
      <c r="K236" s="4" t="s">
        <v>229</v>
      </c>
      <c r="L236" s="4" t="s">
        <v>230</v>
      </c>
      <c r="M236" s="4" t="s">
        <v>34</v>
      </c>
      <c r="N236" s="4">
        <v>0</v>
      </c>
      <c r="O236" s="4">
        <v>827.42978000000005</v>
      </c>
      <c r="P236" s="4" t="s">
        <v>30</v>
      </c>
      <c r="Q236" s="4" t="s">
        <v>30</v>
      </c>
      <c r="R236" s="4">
        <v>1.7669999999999999E-3</v>
      </c>
      <c r="S236" s="4">
        <v>2.2929999999999999E-2</v>
      </c>
      <c r="T236" s="4">
        <v>1.3</v>
      </c>
    </row>
    <row r="237" spans="1:30" hidden="1" outlineLevel="1" collapsed="1" x14ac:dyDescent="0.2">
      <c r="A237" t="s">
        <v>34</v>
      </c>
      <c r="B237" s="4" t="s">
        <v>30</v>
      </c>
      <c r="C237" s="4" t="s">
        <v>432</v>
      </c>
      <c r="D237" s="4" t="s">
        <v>34</v>
      </c>
      <c r="E237" s="4">
        <v>0.108998</v>
      </c>
      <c r="F237" s="4">
        <v>3.7876699999999999E-3</v>
      </c>
      <c r="G237" s="4">
        <v>7</v>
      </c>
      <c r="H237" s="4">
        <v>22</v>
      </c>
      <c r="I237" s="4">
        <v>1</v>
      </c>
      <c r="J237" s="4">
        <v>1</v>
      </c>
      <c r="K237" s="4" t="s">
        <v>433</v>
      </c>
      <c r="L237" s="4" t="s">
        <v>434</v>
      </c>
      <c r="M237" s="4" t="s">
        <v>34</v>
      </c>
      <c r="N237" s="4">
        <v>0</v>
      </c>
      <c r="O237" s="4">
        <v>906.46795999999995</v>
      </c>
      <c r="P237" s="4" t="s">
        <v>30</v>
      </c>
      <c r="Q237" s="4" t="s">
        <v>30</v>
      </c>
      <c r="R237" s="4">
        <v>1.7669999999999999E-3</v>
      </c>
      <c r="S237" s="4">
        <v>5.2359999999999997E-2</v>
      </c>
      <c r="T237" s="4">
        <v>1.41</v>
      </c>
    </row>
    <row r="238" spans="1:30" hidden="1" outlineLevel="1" collapsed="1" x14ac:dyDescent="0.2">
      <c r="A238" t="s">
        <v>34</v>
      </c>
      <c r="B238" s="4" t="s">
        <v>30</v>
      </c>
      <c r="C238" s="4" t="s">
        <v>494</v>
      </c>
      <c r="D238" s="4" t="s">
        <v>442</v>
      </c>
      <c r="E238" s="4">
        <v>2.4368600000000001E-2</v>
      </c>
      <c r="F238" s="4">
        <v>3.7876699999999999E-3</v>
      </c>
      <c r="G238" s="4">
        <v>1</v>
      </c>
      <c r="H238" s="4">
        <v>2</v>
      </c>
      <c r="I238" s="4">
        <v>1</v>
      </c>
      <c r="J238" s="4">
        <v>1</v>
      </c>
      <c r="K238" s="4" t="s">
        <v>490</v>
      </c>
      <c r="L238" s="4" t="s">
        <v>495</v>
      </c>
      <c r="M238" s="4" t="s">
        <v>34</v>
      </c>
      <c r="N238" s="4">
        <v>0</v>
      </c>
      <c r="O238" s="4">
        <v>1197.5456200000001</v>
      </c>
      <c r="P238" s="4" t="s">
        <v>30</v>
      </c>
      <c r="Q238" s="4" t="s">
        <v>30</v>
      </c>
      <c r="R238" s="4">
        <v>1.7669999999999999E-3</v>
      </c>
      <c r="S238" s="4">
        <v>9.6030000000000004E-3</v>
      </c>
      <c r="T238" s="4">
        <v>1.87</v>
      </c>
    </row>
    <row r="239" spans="1:30" hidden="1" outlineLevel="1" collapsed="1" x14ac:dyDescent="0.2">
      <c r="A239" t="s">
        <v>34</v>
      </c>
      <c r="B239" s="4" t="s">
        <v>30</v>
      </c>
      <c r="C239" s="4" t="s">
        <v>474</v>
      </c>
      <c r="D239" s="4" t="s">
        <v>475</v>
      </c>
      <c r="E239" s="4">
        <v>0.218588</v>
      </c>
      <c r="F239" s="4">
        <v>9.5666499999999995E-3</v>
      </c>
      <c r="G239" s="4">
        <v>2</v>
      </c>
      <c r="H239" s="4">
        <v>4</v>
      </c>
      <c r="I239" s="4">
        <v>1</v>
      </c>
      <c r="J239" s="4">
        <v>1</v>
      </c>
      <c r="K239" s="4" t="s">
        <v>466</v>
      </c>
      <c r="L239" s="4" t="s">
        <v>476</v>
      </c>
      <c r="M239" s="4" t="s">
        <v>34</v>
      </c>
      <c r="N239" s="4">
        <v>0</v>
      </c>
      <c r="O239" s="4">
        <v>1424.63354</v>
      </c>
      <c r="P239" s="4" t="s">
        <v>30</v>
      </c>
      <c r="Q239" s="4" t="s">
        <v>30</v>
      </c>
      <c r="R239" s="4">
        <v>4.1380000000000002E-3</v>
      </c>
      <c r="S239" s="4">
        <v>0.1181</v>
      </c>
      <c r="T239" s="4">
        <v>1.5</v>
      </c>
    </row>
    <row r="240" spans="1:30" hidden="1" outlineLevel="1" collapsed="1" x14ac:dyDescent="0.2">
      <c r="A240" t="s">
        <v>34</v>
      </c>
      <c r="B240" s="4" t="s">
        <v>30</v>
      </c>
      <c r="C240" s="4" t="s">
        <v>437</v>
      </c>
      <c r="D240" s="4" t="s">
        <v>374</v>
      </c>
      <c r="E240" s="4">
        <v>0.110525</v>
      </c>
      <c r="F240" s="4">
        <v>3.7876699999999999E-3</v>
      </c>
      <c r="G240" s="4">
        <v>4</v>
      </c>
      <c r="H240" s="4">
        <v>8</v>
      </c>
      <c r="I240" s="4">
        <v>1</v>
      </c>
      <c r="J240" s="4">
        <v>1</v>
      </c>
      <c r="K240" s="4" t="s">
        <v>428</v>
      </c>
      <c r="L240" s="4" t="s">
        <v>438</v>
      </c>
      <c r="M240" s="4" t="s">
        <v>34</v>
      </c>
      <c r="N240" s="4">
        <v>1</v>
      </c>
      <c r="O240" s="4">
        <v>1170.5459499999999</v>
      </c>
      <c r="P240" s="4" t="s">
        <v>30</v>
      </c>
      <c r="Q240" s="4" t="s">
        <v>30</v>
      </c>
      <c r="R240" s="4">
        <v>1.7669999999999999E-3</v>
      </c>
      <c r="S240" s="4">
        <v>5.3400000000000003E-2</v>
      </c>
      <c r="T240" s="4">
        <v>1.24</v>
      </c>
    </row>
    <row r="241" spans="1:30" hidden="1" outlineLevel="1" collapsed="1" x14ac:dyDescent="0.2">
      <c r="A241" t="s">
        <v>34</v>
      </c>
      <c r="B241" s="4" t="s">
        <v>30</v>
      </c>
      <c r="C241" s="4" t="s">
        <v>245</v>
      </c>
      <c r="D241" s="4" t="s">
        <v>148</v>
      </c>
      <c r="E241" s="4">
        <v>0.104048</v>
      </c>
      <c r="F241" s="4">
        <v>3.7876699999999999E-3</v>
      </c>
      <c r="G241" s="4">
        <v>6</v>
      </c>
      <c r="H241" s="4">
        <v>13</v>
      </c>
      <c r="I241" s="4">
        <v>1</v>
      </c>
      <c r="J241" s="4">
        <v>1</v>
      </c>
      <c r="K241" s="4" t="s">
        <v>246</v>
      </c>
      <c r="L241" s="4" t="s">
        <v>247</v>
      </c>
      <c r="M241" s="4" t="s">
        <v>34</v>
      </c>
      <c r="N241" s="4">
        <v>0</v>
      </c>
      <c r="O241" s="4">
        <v>1005.4669699999999</v>
      </c>
      <c r="P241" s="4" t="s">
        <v>30</v>
      </c>
      <c r="Q241" s="4" t="s">
        <v>30</v>
      </c>
      <c r="R241" s="4">
        <v>1.7669999999999999E-3</v>
      </c>
      <c r="S241" s="4">
        <v>4.972E-2</v>
      </c>
      <c r="T241" s="4">
        <v>1.21</v>
      </c>
    </row>
    <row r="242" spans="1:30" hidden="1" outlineLevel="1" collapsed="1" x14ac:dyDescent="0.2">
      <c r="A242" t="s">
        <v>34</v>
      </c>
      <c r="B242" s="4" t="s">
        <v>30</v>
      </c>
      <c r="C242" s="4" t="s">
        <v>477</v>
      </c>
      <c r="D242" s="4" t="s">
        <v>478</v>
      </c>
      <c r="E242" s="4">
        <v>7.8416100000000006E-3</v>
      </c>
      <c r="F242" s="4">
        <v>3.7876699999999999E-3</v>
      </c>
      <c r="G242" s="4">
        <v>2</v>
      </c>
      <c r="H242" s="4">
        <v>4</v>
      </c>
      <c r="I242" s="4">
        <v>1</v>
      </c>
      <c r="J242" s="4">
        <v>2</v>
      </c>
      <c r="K242" s="4" t="s">
        <v>466</v>
      </c>
      <c r="L242" s="4" t="s">
        <v>479</v>
      </c>
      <c r="M242" s="4" t="s">
        <v>34</v>
      </c>
      <c r="N242" s="4">
        <v>0</v>
      </c>
      <c r="O242" s="4">
        <v>1598.7591299999999</v>
      </c>
      <c r="P242" s="4" t="s">
        <v>30</v>
      </c>
      <c r="Q242" s="4" t="s">
        <v>30</v>
      </c>
      <c r="R242" s="4">
        <v>1.7669999999999999E-3</v>
      </c>
      <c r="S242" s="4">
        <v>2.7079999999999999E-3</v>
      </c>
      <c r="T242" s="4">
        <v>1.41</v>
      </c>
    </row>
    <row r="243" spans="1:30" hidden="1" outlineLevel="1" collapsed="1" x14ac:dyDescent="0.2">
      <c r="A243" t="s">
        <v>34</v>
      </c>
      <c r="B243" s="4" t="s">
        <v>30</v>
      </c>
      <c r="C243" s="4" t="s">
        <v>88</v>
      </c>
      <c r="D243" s="4" t="s">
        <v>34</v>
      </c>
      <c r="E243" s="4">
        <v>1.6149699999999999E-2</v>
      </c>
      <c r="F243" s="4">
        <v>3.7876699999999999E-3</v>
      </c>
      <c r="G243" s="4">
        <v>4</v>
      </c>
      <c r="H243" s="4">
        <v>10</v>
      </c>
      <c r="I243" s="4">
        <v>1</v>
      </c>
      <c r="J243" s="4">
        <v>6</v>
      </c>
      <c r="K243" s="4" t="s">
        <v>89</v>
      </c>
      <c r="L243" s="4" t="s">
        <v>90</v>
      </c>
      <c r="M243" s="4" t="s">
        <v>34</v>
      </c>
      <c r="N243" s="4">
        <v>2</v>
      </c>
      <c r="O243" s="4">
        <v>1308.65425</v>
      </c>
      <c r="P243" s="4" t="s">
        <v>30</v>
      </c>
      <c r="Q243" s="4" t="s">
        <v>30</v>
      </c>
      <c r="R243" s="4">
        <v>1.7669999999999999E-3</v>
      </c>
      <c r="S243" s="4">
        <v>6.0530000000000002E-3</v>
      </c>
      <c r="T243" s="4">
        <v>2.8</v>
      </c>
    </row>
    <row r="244" spans="1:30" hidden="1" outlineLevel="1" collapsed="1" x14ac:dyDescent="0.2">
      <c r="A244" t="s">
        <v>34</v>
      </c>
      <c r="B244" s="4" t="s">
        <v>30</v>
      </c>
      <c r="C244" s="4" t="s">
        <v>250</v>
      </c>
      <c r="D244" s="4" t="s">
        <v>34</v>
      </c>
      <c r="E244" s="4">
        <v>3.7771199999999998E-2</v>
      </c>
      <c r="F244" s="4">
        <v>3.7876699999999999E-3</v>
      </c>
      <c r="G244" s="4">
        <v>4</v>
      </c>
      <c r="H244" s="4">
        <v>9</v>
      </c>
      <c r="I244" s="4">
        <v>1</v>
      </c>
      <c r="J244" s="4">
        <v>1</v>
      </c>
      <c r="K244" s="4" t="s">
        <v>251</v>
      </c>
      <c r="L244" s="4" t="s">
        <v>252</v>
      </c>
      <c r="M244" s="4" t="s">
        <v>34</v>
      </c>
      <c r="N244" s="4">
        <v>0</v>
      </c>
      <c r="O244" s="4">
        <v>1329.7260200000001</v>
      </c>
      <c r="P244" s="4" t="s">
        <v>30</v>
      </c>
      <c r="Q244" s="4" t="s">
        <v>30</v>
      </c>
      <c r="R244" s="4">
        <v>1.7669999999999999E-3</v>
      </c>
      <c r="S244" s="4">
        <v>1.5740000000000001E-2</v>
      </c>
      <c r="T244" s="4">
        <v>2.2799999999999998</v>
      </c>
    </row>
    <row r="245" spans="1:30" hidden="1" outlineLevel="1" collapsed="1" x14ac:dyDescent="0.2">
      <c r="A245" t="s">
        <v>34</v>
      </c>
      <c r="B245" s="4" t="s">
        <v>30</v>
      </c>
      <c r="C245" s="4" t="s">
        <v>482</v>
      </c>
      <c r="D245" s="4" t="s">
        <v>34</v>
      </c>
      <c r="E245" s="4">
        <v>9.3898700000000002E-2</v>
      </c>
      <c r="F245" s="4">
        <v>3.7876699999999999E-3</v>
      </c>
      <c r="G245" s="4">
        <v>2</v>
      </c>
      <c r="H245" s="4">
        <v>5</v>
      </c>
      <c r="I245" s="4">
        <v>1</v>
      </c>
      <c r="J245" s="4">
        <v>1</v>
      </c>
      <c r="K245" s="4" t="s">
        <v>466</v>
      </c>
      <c r="L245" s="4" t="s">
        <v>483</v>
      </c>
      <c r="M245" s="4" t="s">
        <v>34</v>
      </c>
      <c r="N245" s="4">
        <v>0</v>
      </c>
      <c r="O245" s="4">
        <v>972.51088000000004</v>
      </c>
      <c r="P245" s="4" t="s">
        <v>30</v>
      </c>
      <c r="Q245" s="4" t="s">
        <v>30</v>
      </c>
      <c r="R245" s="4">
        <v>1.7669999999999999E-3</v>
      </c>
      <c r="S245" s="4">
        <v>4.4110000000000003E-2</v>
      </c>
      <c r="T245" s="4">
        <v>1.51</v>
      </c>
    </row>
    <row r="246" spans="1:30" hidden="1" outlineLevel="1" collapsed="1" x14ac:dyDescent="0.2">
      <c r="A246" t="s">
        <v>34</v>
      </c>
      <c r="B246" s="4" t="s">
        <v>30</v>
      </c>
      <c r="C246" s="4" t="s">
        <v>484</v>
      </c>
      <c r="D246" s="4" t="s">
        <v>34</v>
      </c>
      <c r="E246" s="4">
        <v>5.8051899999999997E-2</v>
      </c>
      <c r="F246" s="4">
        <v>3.7876699999999999E-3</v>
      </c>
      <c r="G246" s="4">
        <v>2</v>
      </c>
      <c r="H246" s="4">
        <v>3</v>
      </c>
      <c r="I246" s="4">
        <v>1</v>
      </c>
      <c r="J246" s="4">
        <v>1</v>
      </c>
      <c r="K246" s="4" t="s">
        <v>466</v>
      </c>
      <c r="L246" s="4" t="s">
        <v>485</v>
      </c>
      <c r="M246" s="4" t="s">
        <v>34</v>
      </c>
      <c r="N246" s="4">
        <v>0</v>
      </c>
      <c r="O246" s="4">
        <v>1026.52145</v>
      </c>
      <c r="P246" s="4" t="s">
        <v>30</v>
      </c>
      <c r="Q246" s="4" t="s">
        <v>30</v>
      </c>
      <c r="R246" s="4">
        <v>1.7669999999999999E-3</v>
      </c>
      <c r="S246" s="4">
        <v>2.5499999999999998E-2</v>
      </c>
      <c r="T246" s="4">
        <v>1.5</v>
      </c>
    </row>
    <row r="247" spans="1:30" hidden="1" outlineLevel="1" collapsed="1" x14ac:dyDescent="0.2">
      <c r="A247" t="s">
        <v>34</v>
      </c>
      <c r="B247" s="4" t="s">
        <v>30</v>
      </c>
      <c r="C247" s="4" t="s">
        <v>486</v>
      </c>
      <c r="D247" s="4" t="s">
        <v>34</v>
      </c>
      <c r="E247" s="4">
        <v>2.5698100000000001E-2</v>
      </c>
      <c r="F247" s="4">
        <v>3.7876699999999999E-3</v>
      </c>
      <c r="G247" s="4">
        <v>2</v>
      </c>
      <c r="H247" s="4">
        <v>5</v>
      </c>
      <c r="I247" s="4">
        <v>1</v>
      </c>
      <c r="J247" s="4">
        <v>1</v>
      </c>
      <c r="K247" s="4" t="s">
        <v>466</v>
      </c>
      <c r="L247" s="4" t="s">
        <v>487</v>
      </c>
      <c r="M247" s="4" t="s">
        <v>34</v>
      </c>
      <c r="N247" s="4">
        <v>0</v>
      </c>
      <c r="O247" s="4">
        <v>1222.63139</v>
      </c>
      <c r="P247" s="4" t="s">
        <v>30</v>
      </c>
      <c r="Q247" s="4" t="s">
        <v>30</v>
      </c>
      <c r="R247" s="4">
        <v>1.7669999999999999E-3</v>
      </c>
      <c r="S247" s="4">
        <v>1.018E-2</v>
      </c>
      <c r="T247" s="4">
        <v>1.78</v>
      </c>
    </row>
    <row r="248" spans="1:30" hidden="1" outlineLevel="1" collapsed="1" x14ac:dyDescent="0.2">
      <c r="A248" t="s">
        <v>34</v>
      </c>
      <c r="B248" s="4" t="s">
        <v>30</v>
      </c>
      <c r="C248" s="4" t="s">
        <v>458</v>
      </c>
      <c r="D248" s="4" t="s">
        <v>34</v>
      </c>
      <c r="E248" s="4">
        <v>0.103565</v>
      </c>
      <c r="F248" s="4">
        <v>3.7876699999999999E-3</v>
      </c>
      <c r="G248" s="4">
        <v>3</v>
      </c>
      <c r="H248" s="4">
        <v>6</v>
      </c>
      <c r="I248" s="4">
        <v>1</v>
      </c>
      <c r="J248" s="4">
        <v>2</v>
      </c>
      <c r="K248" s="4" t="s">
        <v>459</v>
      </c>
      <c r="L248" s="4" t="s">
        <v>460</v>
      </c>
      <c r="M248" s="4" t="s">
        <v>34</v>
      </c>
      <c r="N248" s="4">
        <v>0</v>
      </c>
      <c r="O248" s="4">
        <v>1203.63681</v>
      </c>
      <c r="P248" s="4" t="s">
        <v>30</v>
      </c>
      <c r="Q248" s="4" t="s">
        <v>30</v>
      </c>
      <c r="R248" s="4">
        <v>1.7669999999999999E-3</v>
      </c>
      <c r="S248" s="4">
        <v>4.9329999999999999E-2</v>
      </c>
      <c r="T248" s="4">
        <v>1.73</v>
      </c>
    </row>
    <row r="249" spans="1:30" hidden="1" outlineLevel="1" collapsed="1" x14ac:dyDescent="0.2">
      <c r="A249" t="s">
        <v>34</v>
      </c>
      <c r="B249" s="4" t="s">
        <v>30</v>
      </c>
      <c r="C249" s="4" t="s">
        <v>488</v>
      </c>
      <c r="D249" s="4" t="s">
        <v>34</v>
      </c>
      <c r="E249" s="4">
        <v>7.2211300000000001E-3</v>
      </c>
      <c r="F249" s="4">
        <v>3.7876699999999999E-3</v>
      </c>
      <c r="G249" s="4">
        <v>2</v>
      </c>
      <c r="H249" s="4">
        <v>6</v>
      </c>
      <c r="I249" s="4">
        <v>1</v>
      </c>
      <c r="J249" s="4">
        <v>1</v>
      </c>
      <c r="K249" s="4" t="s">
        <v>466</v>
      </c>
      <c r="L249" s="4" t="s">
        <v>489</v>
      </c>
      <c r="M249" s="4" t="s">
        <v>34</v>
      </c>
      <c r="N249" s="4">
        <v>0</v>
      </c>
      <c r="O249" s="4">
        <v>1165.5847799999999</v>
      </c>
      <c r="P249" s="4" t="s">
        <v>30</v>
      </c>
      <c r="Q249" s="4" t="s">
        <v>30</v>
      </c>
      <c r="R249" s="4">
        <v>1.7669999999999999E-3</v>
      </c>
      <c r="S249" s="4">
        <v>2.4740000000000001E-3</v>
      </c>
      <c r="T249" s="4">
        <v>2.7</v>
      </c>
    </row>
    <row r="250" spans="1:30" collapsed="1" x14ac:dyDescent="0.2">
      <c r="A250" s="3" t="s">
        <v>30</v>
      </c>
      <c r="B250" s="3" t="s">
        <v>31</v>
      </c>
      <c r="C250" s="3" t="s">
        <v>496</v>
      </c>
      <c r="D250" s="3" t="s">
        <v>497</v>
      </c>
      <c r="E250" s="3">
        <v>0</v>
      </c>
      <c r="F250" s="3">
        <v>33.966000000000001</v>
      </c>
      <c r="G250" s="3">
        <v>33</v>
      </c>
      <c r="H250" s="3">
        <v>17</v>
      </c>
      <c r="I250" s="3">
        <v>18</v>
      </c>
      <c r="J250" s="3">
        <v>61</v>
      </c>
      <c r="K250" s="3">
        <v>6</v>
      </c>
      <c r="L250" s="3">
        <v>472</v>
      </c>
      <c r="M250" s="3">
        <v>51.1</v>
      </c>
      <c r="N250" s="3">
        <v>5.05</v>
      </c>
      <c r="O250" s="3">
        <v>51.33</v>
      </c>
      <c r="P250" s="3">
        <v>17</v>
      </c>
      <c r="Q250" s="3" t="s">
        <v>34</v>
      </c>
      <c r="R250" s="3" t="s">
        <v>34</v>
      </c>
      <c r="S250" s="3" t="s">
        <v>34</v>
      </c>
      <c r="T250" s="3" t="s">
        <v>34</v>
      </c>
      <c r="U250" s="3" t="s">
        <v>34</v>
      </c>
      <c r="V250" s="3" t="s">
        <v>496</v>
      </c>
      <c r="W250" s="3" t="s">
        <v>34</v>
      </c>
      <c r="X250" s="3" t="s">
        <v>34</v>
      </c>
      <c r="Y250" s="3" t="s">
        <v>34</v>
      </c>
      <c r="Z250" s="3" t="s">
        <v>34</v>
      </c>
      <c r="AA250" s="3">
        <v>0</v>
      </c>
      <c r="AB250" s="3" t="s">
        <v>30</v>
      </c>
      <c r="AC250" s="3">
        <v>1</v>
      </c>
      <c r="AD250" s="3" t="s">
        <v>34</v>
      </c>
    </row>
    <row r="251" spans="1:30" hidden="1" outlineLevel="1" collapsed="1" x14ac:dyDescent="0.2">
      <c r="A251" t="s">
        <v>34</v>
      </c>
      <c r="B251" s="2" t="s">
        <v>36</v>
      </c>
      <c r="C251" s="2" t="s">
        <v>37</v>
      </c>
      <c r="D251" s="2" t="s">
        <v>29</v>
      </c>
      <c r="E251" s="2" t="s">
        <v>38</v>
      </c>
      <c r="F251" s="2" t="s">
        <v>39</v>
      </c>
      <c r="G251" s="2" t="s">
        <v>28</v>
      </c>
      <c r="H251" s="2" t="s">
        <v>40</v>
      </c>
      <c r="I251" s="2" t="s">
        <v>8</v>
      </c>
      <c r="J251" s="2" t="s">
        <v>9</v>
      </c>
      <c r="K251" s="2" t="s">
        <v>41</v>
      </c>
      <c r="L251" s="2" t="s">
        <v>42</v>
      </c>
      <c r="M251" s="2" t="s">
        <v>43</v>
      </c>
      <c r="N251" s="2" t="s">
        <v>44</v>
      </c>
      <c r="O251" s="2" t="s">
        <v>45</v>
      </c>
      <c r="P251" s="2" t="s">
        <v>27</v>
      </c>
      <c r="Q251" s="2" t="s">
        <v>46</v>
      </c>
      <c r="R251" s="2" t="s">
        <v>47</v>
      </c>
      <c r="S251" s="2" t="s">
        <v>48</v>
      </c>
      <c r="T251" s="2" t="s">
        <v>49</v>
      </c>
    </row>
    <row r="252" spans="1:30" hidden="1" outlineLevel="1" collapsed="1" x14ac:dyDescent="0.2">
      <c r="A252" t="s">
        <v>34</v>
      </c>
      <c r="B252" s="4" t="s">
        <v>30</v>
      </c>
      <c r="C252" s="4" t="s">
        <v>385</v>
      </c>
      <c r="D252" s="4" t="s">
        <v>34</v>
      </c>
      <c r="E252" s="4">
        <v>1.18415E-2</v>
      </c>
      <c r="F252" s="4">
        <v>3.7876699999999999E-3</v>
      </c>
      <c r="G252" s="4">
        <v>4</v>
      </c>
      <c r="H252" s="4">
        <v>7</v>
      </c>
      <c r="I252" s="4">
        <v>1</v>
      </c>
      <c r="J252" s="4">
        <v>4</v>
      </c>
      <c r="K252" s="4" t="s">
        <v>386</v>
      </c>
      <c r="L252" s="4" t="s">
        <v>387</v>
      </c>
      <c r="M252" s="4" t="s">
        <v>34</v>
      </c>
      <c r="N252" s="4">
        <v>0</v>
      </c>
      <c r="O252" s="4">
        <v>1301.65834</v>
      </c>
      <c r="P252" s="4" t="s">
        <v>30</v>
      </c>
      <c r="Q252" s="4" t="s">
        <v>30</v>
      </c>
      <c r="R252" s="4">
        <v>1.7669999999999999E-3</v>
      </c>
      <c r="S252" s="4">
        <v>4.2839999999999996E-3</v>
      </c>
      <c r="T252" s="4">
        <v>2.48</v>
      </c>
    </row>
    <row r="253" spans="1:30" hidden="1" outlineLevel="1" collapsed="1" x14ac:dyDescent="0.2">
      <c r="A253" t="s">
        <v>34</v>
      </c>
      <c r="B253" s="4" t="s">
        <v>30</v>
      </c>
      <c r="C253" s="4" t="s">
        <v>498</v>
      </c>
      <c r="D253" s="4" t="s">
        <v>34</v>
      </c>
      <c r="E253" s="4">
        <v>2.34445E-2</v>
      </c>
      <c r="F253" s="4">
        <v>3.7876699999999999E-3</v>
      </c>
      <c r="G253" s="4">
        <v>1</v>
      </c>
      <c r="H253" s="4">
        <v>1</v>
      </c>
      <c r="I253" s="4">
        <v>1</v>
      </c>
      <c r="J253" s="4">
        <v>1</v>
      </c>
      <c r="K253" s="4" t="s">
        <v>496</v>
      </c>
      <c r="L253" s="4" t="s">
        <v>499</v>
      </c>
      <c r="M253" s="4" t="s">
        <v>34</v>
      </c>
      <c r="N253" s="4">
        <v>0</v>
      </c>
      <c r="O253" s="4">
        <v>1338.66482</v>
      </c>
      <c r="P253" s="4" t="s">
        <v>30</v>
      </c>
      <c r="Q253" s="4" t="s">
        <v>30</v>
      </c>
      <c r="R253" s="4">
        <v>1.7669999999999999E-3</v>
      </c>
      <c r="S253" s="4">
        <v>9.2300000000000004E-3</v>
      </c>
      <c r="T253" s="4">
        <v>1.81</v>
      </c>
    </row>
    <row r="254" spans="1:30" hidden="1" outlineLevel="1" collapsed="1" x14ac:dyDescent="0.2">
      <c r="A254" t="s">
        <v>34</v>
      </c>
      <c r="B254" s="4" t="s">
        <v>30</v>
      </c>
      <c r="C254" s="4" t="s">
        <v>390</v>
      </c>
      <c r="D254" s="4" t="s">
        <v>34</v>
      </c>
      <c r="E254" s="4">
        <v>4.6674100000000003E-3</v>
      </c>
      <c r="F254" s="4">
        <v>3.7876699999999999E-3</v>
      </c>
      <c r="G254" s="4">
        <v>2</v>
      </c>
      <c r="H254" s="4">
        <v>2</v>
      </c>
      <c r="I254" s="4">
        <v>1</v>
      </c>
      <c r="J254" s="4">
        <v>3</v>
      </c>
      <c r="K254" s="4" t="s">
        <v>391</v>
      </c>
      <c r="L254" s="4" t="s">
        <v>392</v>
      </c>
      <c r="M254" s="4" t="s">
        <v>34</v>
      </c>
      <c r="N254" s="4">
        <v>0</v>
      </c>
      <c r="O254" s="4">
        <v>1220.60049</v>
      </c>
      <c r="P254" s="4" t="s">
        <v>30</v>
      </c>
      <c r="Q254" s="4" t="s">
        <v>30</v>
      </c>
      <c r="R254" s="4">
        <v>1.7669999999999999E-3</v>
      </c>
      <c r="S254" s="4">
        <v>1.518E-3</v>
      </c>
      <c r="T254" s="4">
        <v>2.38</v>
      </c>
    </row>
    <row r="255" spans="1:30" hidden="1" outlineLevel="1" collapsed="1" x14ac:dyDescent="0.2">
      <c r="A255" t="s">
        <v>34</v>
      </c>
      <c r="B255" s="4" t="s">
        <v>30</v>
      </c>
      <c r="C255" s="4" t="s">
        <v>393</v>
      </c>
      <c r="D255" s="4" t="s">
        <v>34</v>
      </c>
      <c r="E255" s="4">
        <v>2.11807E-2</v>
      </c>
      <c r="F255" s="4">
        <v>3.7876699999999999E-3</v>
      </c>
      <c r="G255" s="4">
        <v>2</v>
      </c>
      <c r="H255" s="4">
        <v>2</v>
      </c>
      <c r="I255" s="4">
        <v>1</v>
      </c>
      <c r="J255" s="4">
        <v>3</v>
      </c>
      <c r="K255" s="4" t="s">
        <v>391</v>
      </c>
      <c r="L255" s="4" t="s">
        <v>394</v>
      </c>
      <c r="M255" s="4" t="s">
        <v>34</v>
      </c>
      <c r="N255" s="4">
        <v>1</v>
      </c>
      <c r="O255" s="4">
        <v>1433.72306</v>
      </c>
      <c r="P255" s="4" t="s">
        <v>30</v>
      </c>
      <c r="Q255" s="4" t="s">
        <v>30</v>
      </c>
      <c r="R255" s="4">
        <v>1.7669999999999999E-3</v>
      </c>
      <c r="S255" s="4">
        <v>8.2319999999999997E-3</v>
      </c>
      <c r="T255" s="4">
        <v>2.16</v>
      </c>
    </row>
    <row r="256" spans="1:30" hidden="1" outlineLevel="1" collapsed="1" x14ac:dyDescent="0.2">
      <c r="A256" t="s">
        <v>34</v>
      </c>
      <c r="B256" s="4" t="s">
        <v>30</v>
      </c>
      <c r="C256" s="4" t="s">
        <v>500</v>
      </c>
      <c r="D256" s="4" t="s">
        <v>34</v>
      </c>
      <c r="E256" s="4">
        <v>8.4703399999999998E-2</v>
      </c>
      <c r="F256" s="4">
        <v>3.7876699999999999E-3</v>
      </c>
      <c r="G256" s="4">
        <v>1</v>
      </c>
      <c r="H256" s="4">
        <v>1</v>
      </c>
      <c r="I256" s="4">
        <v>1</v>
      </c>
      <c r="J256" s="4">
        <v>1</v>
      </c>
      <c r="K256" s="4" t="s">
        <v>496</v>
      </c>
      <c r="L256" s="4" t="s">
        <v>501</v>
      </c>
      <c r="M256" s="4" t="s">
        <v>34</v>
      </c>
      <c r="N256" s="4">
        <v>0</v>
      </c>
      <c r="O256" s="4">
        <v>1096.5309500000001</v>
      </c>
      <c r="P256" s="4" t="s">
        <v>30</v>
      </c>
      <c r="Q256" s="4" t="s">
        <v>30</v>
      </c>
      <c r="R256" s="4">
        <v>1.7669999999999999E-3</v>
      </c>
      <c r="S256" s="4">
        <v>3.9260000000000003E-2</v>
      </c>
      <c r="T256" s="4">
        <v>1.34</v>
      </c>
    </row>
    <row r="257" spans="1:30" hidden="1" outlineLevel="1" collapsed="1" x14ac:dyDescent="0.2">
      <c r="A257" t="s">
        <v>34</v>
      </c>
      <c r="B257" s="4" t="s">
        <v>30</v>
      </c>
      <c r="C257" s="4" t="s">
        <v>401</v>
      </c>
      <c r="D257" s="4" t="s">
        <v>34</v>
      </c>
      <c r="E257" s="4">
        <v>0.15299599999999999</v>
      </c>
      <c r="F257" s="4">
        <v>7.4059499999999997E-3</v>
      </c>
      <c r="G257" s="4">
        <v>2</v>
      </c>
      <c r="H257" s="4">
        <v>3</v>
      </c>
      <c r="I257" s="4">
        <v>1</v>
      </c>
      <c r="J257" s="4">
        <v>1</v>
      </c>
      <c r="K257" s="4" t="s">
        <v>391</v>
      </c>
      <c r="L257" s="4" t="s">
        <v>402</v>
      </c>
      <c r="M257" s="4" t="s">
        <v>34</v>
      </c>
      <c r="N257" s="4">
        <v>0</v>
      </c>
      <c r="O257" s="4">
        <v>919.41961000000003</v>
      </c>
      <c r="P257" s="4" t="s">
        <v>30</v>
      </c>
      <c r="Q257" s="4" t="s">
        <v>30</v>
      </c>
      <c r="R257" s="4">
        <v>3.356E-3</v>
      </c>
      <c r="S257" s="4">
        <v>7.7700000000000005E-2</v>
      </c>
      <c r="T257" s="4">
        <v>1.1599999999999999</v>
      </c>
    </row>
    <row r="258" spans="1:30" hidden="1" outlineLevel="1" collapsed="1" x14ac:dyDescent="0.2">
      <c r="A258" t="s">
        <v>34</v>
      </c>
      <c r="B258" s="4" t="s">
        <v>30</v>
      </c>
      <c r="C258" s="4" t="s">
        <v>502</v>
      </c>
      <c r="D258" s="4" t="s">
        <v>34</v>
      </c>
      <c r="E258" s="4">
        <v>6.1832500000000004E-3</v>
      </c>
      <c r="F258" s="4">
        <v>3.7876699999999999E-3</v>
      </c>
      <c r="G258" s="4">
        <v>1</v>
      </c>
      <c r="H258" s="4">
        <v>1</v>
      </c>
      <c r="I258" s="4">
        <v>1</v>
      </c>
      <c r="J258" s="4">
        <v>1</v>
      </c>
      <c r="K258" s="4" t="s">
        <v>496</v>
      </c>
      <c r="L258" s="4" t="s">
        <v>503</v>
      </c>
      <c r="M258" s="4" t="s">
        <v>34</v>
      </c>
      <c r="N258" s="4">
        <v>0</v>
      </c>
      <c r="O258" s="4">
        <v>1405.6917599999999</v>
      </c>
      <c r="P258" s="4" t="s">
        <v>30</v>
      </c>
      <c r="Q258" s="4" t="s">
        <v>30</v>
      </c>
      <c r="R258" s="4">
        <v>1.7669999999999999E-3</v>
      </c>
      <c r="S258" s="4">
        <v>2.081E-3</v>
      </c>
      <c r="T258" s="4">
        <v>2.11</v>
      </c>
    </row>
    <row r="259" spans="1:30" hidden="1" outlineLevel="1" collapsed="1" x14ac:dyDescent="0.2">
      <c r="A259" t="s">
        <v>34</v>
      </c>
      <c r="B259" s="4" t="s">
        <v>30</v>
      </c>
      <c r="C259" s="4" t="s">
        <v>287</v>
      </c>
      <c r="D259" s="4" t="s">
        <v>34</v>
      </c>
      <c r="E259" s="4">
        <v>3.83188E-2</v>
      </c>
      <c r="F259" s="4">
        <v>3.7876699999999999E-3</v>
      </c>
      <c r="G259" s="4">
        <v>7</v>
      </c>
      <c r="H259" s="4">
        <v>27</v>
      </c>
      <c r="I259" s="4">
        <v>1</v>
      </c>
      <c r="J259" s="4">
        <v>13</v>
      </c>
      <c r="K259" s="4" t="s">
        <v>288</v>
      </c>
      <c r="L259" s="4" t="s">
        <v>289</v>
      </c>
      <c r="M259" s="4" t="s">
        <v>34</v>
      </c>
      <c r="N259" s="4">
        <v>0</v>
      </c>
      <c r="O259" s="4">
        <v>807.39954</v>
      </c>
      <c r="P259" s="4" t="s">
        <v>30</v>
      </c>
      <c r="Q259" s="4" t="s">
        <v>30</v>
      </c>
      <c r="R259" s="4">
        <v>1.7669999999999999E-3</v>
      </c>
      <c r="S259" s="4">
        <v>1.5970000000000002E-2</v>
      </c>
      <c r="T259" s="4">
        <v>1.35</v>
      </c>
    </row>
    <row r="260" spans="1:30" hidden="1" outlineLevel="1" collapsed="1" x14ac:dyDescent="0.2">
      <c r="A260" t="s">
        <v>34</v>
      </c>
      <c r="B260" s="4" t="s">
        <v>30</v>
      </c>
      <c r="C260" s="4" t="s">
        <v>290</v>
      </c>
      <c r="D260" s="4" t="s">
        <v>34</v>
      </c>
      <c r="E260" s="4">
        <v>6.4436499999999994E-2</v>
      </c>
      <c r="F260" s="4">
        <v>3.7876699999999999E-3</v>
      </c>
      <c r="G260" s="4">
        <v>6</v>
      </c>
      <c r="H260" s="4">
        <v>14</v>
      </c>
      <c r="I260" s="4">
        <v>1</v>
      </c>
      <c r="J260" s="4">
        <v>6</v>
      </c>
      <c r="K260" s="4" t="s">
        <v>291</v>
      </c>
      <c r="L260" s="4" t="s">
        <v>292</v>
      </c>
      <c r="M260" s="4" t="s">
        <v>34</v>
      </c>
      <c r="N260" s="4">
        <v>0</v>
      </c>
      <c r="O260" s="4">
        <v>809.44034999999997</v>
      </c>
      <c r="P260" s="4" t="s">
        <v>30</v>
      </c>
      <c r="Q260" s="4" t="s">
        <v>30</v>
      </c>
      <c r="R260" s="4">
        <v>1.7669999999999999E-3</v>
      </c>
      <c r="S260" s="4">
        <v>2.8740000000000002E-2</v>
      </c>
      <c r="T260" s="4">
        <v>1.0900000000000001</v>
      </c>
    </row>
    <row r="261" spans="1:30" hidden="1" outlineLevel="1" collapsed="1" x14ac:dyDescent="0.2">
      <c r="A261" t="s">
        <v>34</v>
      </c>
      <c r="B261" s="4" t="s">
        <v>30</v>
      </c>
      <c r="C261" s="4" t="s">
        <v>293</v>
      </c>
      <c r="D261" s="4" t="s">
        <v>34</v>
      </c>
      <c r="E261" s="4">
        <v>0.108998</v>
      </c>
      <c r="F261" s="4">
        <v>3.7876699999999999E-3</v>
      </c>
      <c r="G261" s="4">
        <v>5</v>
      </c>
      <c r="H261" s="4">
        <v>11</v>
      </c>
      <c r="I261" s="4">
        <v>1</v>
      </c>
      <c r="J261" s="4">
        <v>1</v>
      </c>
      <c r="K261" s="4" t="s">
        <v>294</v>
      </c>
      <c r="L261" s="4" t="s">
        <v>295</v>
      </c>
      <c r="M261" s="4" t="s">
        <v>34</v>
      </c>
      <c r="N261" s="4">
        <v>1</v>
      </c>
      <c r="O261" s="4">
        <v>1064.60987</v>
      </c>
      <c r="P261" s="4" t="s">
        <v>30</v>
      </c>
      <c r="Q261" s="4" t="s">
        <v>30</v>
      </c>
      <c r="R261" s="4">
        <v>1.7669999999999999E-3</v>
      </c>
      <c r="S261" s="4">
        <v>5.2560000000000003E-2</v>
      </c>
      <c r="T261" s="4">
        <v>1.46</v>
      </c>
    </row>
    <row r="262" spans="1:30" hidden="1" outlineLevel="1" collapsed="1" x14ac:dyDescent="0.2">
      <c r="A262" t="s">
        <v>34</v>
      </c>
      <c r="B262" s="4" t="s">
        <v>30</v>
      </c>
      <c r="C262" s="4" t="s">
        <v>407</v>
      </c>
      <c r="D262" s="4" t="s">
        <v>34</v>
      </c>
      <c r="E262" s="4">
        <v>2.07748E-2</v>
      </c>
      <c r="F262" s="4">
        <v>3.7876699999999999E-3</v>
      </c>
      <c r="G262" s="4">
        <v>5</v>
      </c>
      <c r="H262" s="4">
        <v>10</v>
      </c>
      <c r="I262" s="4">
        <v>1</v>
      </c>
      <c r="J262" s="4">
        <v>1</v>
      </c>
      <c r="K262" s="4" t="s">
        <v>408</v>
      </c>
      <c r="L262" s="4" t="s">
        <v>409</v>
      </c>
      <c r="M262" s="4" t="s">
        <v>34</v>
      </c>
      <c r="N262" s="4">
        <v>0</v>
      </c>
      <c r="O262" s="4">
        <v>1122.5789600000001</v>
      </c>
      <c r="P262" s="4" t="s">
        <v>30</v>
      </c>
      <c r="Q262" s="4" t="s">
        <v>30</v>
      </c>
      <c r="R262" s="4">
        <v>1.7669999999999999E-3</v>
      </c>
      <c r="S262" s="4">
        <v>8.0569999999999999E-3</v>
      </c>
      <c r="T262" s="4">
        <v>2.4</v>
      </c>
    </row>
    <row r="263" spans="1:30" hidden="1" outlineLevel="1" collapsed="1" x14ac:dyDescent="0.2">
      <c r="A263" t="s">
        <v>34</v>
      </c>
      <c r="B263" s="4" t="s">
        <v>30</v>
      </c>
      <c r="C263" s="4" t="s">
        <v>504</v>
      </c>
      <c r="D263" s="4" t="s">
        <v>505</v>
      </c>
      <c r="E263" s="4">
        <v>5.0088899999999999E-2</v>
      </c>
      <c r="F263" s="4">
        <v>3.7876699999999999E-3</v>
      </c>
      <c r="G263" s="4">
        <v>1</v>
      </c>
      <c r="H263" s="4">
        <v>1</v>
      </c>
      <c r="I263" s="4">
        <v>1</v>
      </c>
      <c r="J263" s="4">
        <v>1</v>
      </c>
      <c r="K263" s="4" t="s">
        <v>496</v>
      </c>
      <c r="L263" s="4" t="s">
        <v>506</v>
      </c>
      <c r="M263" s="4" t="s">
        <v>34</v>
      </c>
      <c r="N263" s="4">
        <v>1</v>
      </c>
      <c r="O263" s="4">
        <v>1929.8680899999999</v>
      </c>
      <c r="P263" s="4" t="s">
        <v>30</v>
      </c>
      <c r="Q263" s="4" t="s">
        <v>30</v>
      </c>
      <c r="R263" s="4">
        <v>1.7669999999999999E-3</v>
      </c>
      <c r="S263" s="4">
        <v>2.164E-2</v>
      </c>
      <c r="T263" s="4">
        <v>2.17</v>
      </c>
    </row>
    <row r="264" spans="1:30" hidden="1" outlineLevel="1" collapsed="1" x14ac:dyDescent="0.2">
      <c r="A264" t="s">
        <v>34</v>
      </c>
      <c r="B264" s="4" t="s">
        <v>30</v>
      </c>
      <c r="C264" s="4" t="s">
        <v>412</v>
      </c>
      <c r="D264" s="4" t="s">
        <v>314</v>
      </c>
      <c r="E264" s="4">
        <v>1.7199800000000001E-2</v>
      </c>
      <c r="F264" s="4">
        <v>3.7876699999999999E-3</v>
      </c>
      <c r="G264" s="4">
        <v>2</v>
      </c>
      <c r="H264" s="4">
        <v>2</v>
      </c>
      <c r="I264" s="4">
        <v>1</v>
      </c>
      <c r="J264" s="4">
        <v>3</v>
      </c>
      <c r="K264" s="4" t="s">
        <v>391</v>
      </c>
      <c r="L264" s="4" t="s">
        <v>413</v>
      </c>
      <c r="M264" s="4" t="s">
        <v>34</v>
      </c>
      <c r="N264" s="4">
        <v>0</v>
      </c>
      <c r="O264" s="4">
        <v>1106.5622699999999</v>
      </c>
      <c r="P264" s="4" t="s">
        <v>30</v>
      </c>
      <c r="Q264" s="4" t="s">
        <v>30</v>
      </c>
      <c r="R264" s="4">
        <v>1.7669999999999999E-3</v>
      </c>
      <c r="S264" s="4">
        <v>6.5170000000000002E-3</v>
      </c>
      <c r="T264" s="4">
        <v>2.9</v>
      </c>
    </row>
    <row r="265" spans="1:30" hidden="1" outlineLevel="1" collapsed="1" x14ac:dyDescent="0.2">
      <c r="A265" t="s">
        <v>34</v>
      </c>
      <c r="B265" s="4" t="s">
        <v>30</v>
      </c>
      <c r="C265" s="4" t="s">
        <v>507</v>
      </c>
      <c r="D265" s="4" t="s">
        <v>34</v>
      </c>
      <c r="E265" s="4">
        <v>9.3024599999999999E-2</v>
      </c>
      <c r="F265" s="4">
        <v>3.7876699999999999E-3</v>
      </c>
      <c r="G265" s="4">
        <v>1</v>
      </c>
      <c r="H265" s="4">
        <v>1</v>
      </c>
      <c r="I265" s="4">
        <v>1</v>
      </c>
      <c r="J265" s="4">
        <v>1</v>
      </c>
      <c r="K265" s="4" t="s">
        <v>496</v>
      </c>
      <c r="L265" s="4" t="s">
        <v>508</v>
      </c>
      <c r="M265" s="4" t="s">
        <v>34</v>
      </c>
      <c r="N265" s="4">
        <v>0</v>
      </c>
      <c r="O265" s="4">
        <v>1201.6171400000001</v>
      </c>
      <c r="P265" s="4" t="s">
        <v>30</v>
      </c>
      <c r="Q265" s="4" t="s">
        <v>30</v>
      </c>
      <c r="R265" s="4">
        <v>1.7669999999999999E-3</v>
      </c>
      <c r="S265" s="4">
        <v>4.385E-2</v>
      </c>
      <c r="T265" s="4">
        <v>1.49</v>
      </c>
    </row>
    <row r="266" spans="1:30" hidden="1" outlineLevel="1" collapsed="1" x14ac:dyDescent="0.2">
      <c r="A266" t="s">
        <v>34</v>
      </c>
      <c r="B266" s="4" t="s">
        <v>30</v>
      </c>
      <c r="C266" s="4" t="s">
        <v>509</v>
      </c>
      <c r="D266" s="4" t="s">
        <v>34</v>
      </c>
      <c r="E266" s="4">
        <v>5.0328299999999999E-2</v>
      </c>
      <c r="F266" s="4">
        <v>3.7876699999999999E-3</v>
      </c>
      <c r="G266" s="4">
        <v>1</v>
      </c>
      <c r="H266" s="4">
        <v>1</v>
      </c>
      <c r="I266" s="4">
        <v>1</v>
      </c>
      <c r="J266" s="4">
        <v>2</v>
      </c>
      <c r="K266" s="4" t="s">
        <v>496</v>
      </c>
      <c r="L266" s="4" t="s">
        <v>510</v>
      </c>
      <c r="M266" s="4" t="s">
        <v>34</v>
      </c>
      <c r="N266" s="4">
        <v>0</v>
      </c>
      <c r="O266" s="4">
        <v>833.43632000000002</v>
      </c>
      <c r="P266" s="4" t="s">
        <v>30</v>
      </c>
      <c r="Q266" s="4" t="s">
        <v>30</v>
      </c>
      <c r="R266" s="4">
        <v>1.7669999999999999E-3</v>
      </c>
      <c r="S266" s="4">
        <v>2.1770000000000001E-2</v>
      </c>
      <c r="T266" s="4">
        <v>1.05</v>
      </c>
    </row>
    <row r="267" spans="1:30" hidden="1" outlineLevel="1" collapsed="1" x14ac:dyDescent="0.2">
      <c r="A267" t="s">
        <v>34</v>
      </c>
      <c r="B267" s="4" t="s">
        <v>30</v>
      </c>
      <c r="C267" s="4" t="s">
        <v>418</v>
      </c>
      <c r="D267" s="4" t="s">
        <v>34</v>
      </c>
      <c r="E267" s="4">
        <v>1.81412E-2</v>
      </c>
      <c r="F267" s="4">
        <v>3.7876699999999999E-3</v>
      </c>
      <c r="G267" s="4">
        <v>4</v>
      </c>
      <c r="H267" s="4">
        <v>8</v>
      </c>
      <c r="I267" s="4">
        <v>1</v>
      </c>
      <c r="J267" s="4">
        <v>1</v>
      </c>
      <c r="K267" s="4" t="s">
        <v>419</v>
      </c>
      <c r="L267" s="4" t="s">
        <v>420</v>
      </c>
      <c r="M267" s="4" t="s">
        <v>34</v>
      </c>
      <c r="N267" s="4">
        <v>0</v>
      </c>
      <c r="O267" s="4">
        <v>1029.5938900000001</v>
      </c>
      <c r="P267" s="4" t="s">
        <v>30</v>
      </c>
      <c r="Q267" s="4" t="s">
        <v>30</v>
      </c>
      <c r="R267" s="4">
        <v>1.7669999999999999E-3</v>
      </c>
      <c r="S267" s="4">
        <v>6.8910000000000004E-3</v>
      </c>
      <c r="T267" s="4">
        <v>2.13</v>
      </c>
    </row>
    <row r="268" spans="1:30" hidden="1" outlineLevel="1" collapsed="1" x14ac:dyDescent="0.2">
      <c r="A268" t="s">
        <v>34</v>
      </c>
      <c r="B268" s="4" t="s">
        <v>30</v>
      </c>
      <c r="C268" s="4" t="s">
        <v>328</v>
      </c>
      <c r="D268" s="4" t="s">
        <v>34</v>
      </c>
      <c r="E268" s="4">
        <v>4.9613400000000002E-2</v>
      </c>
      <c r="F268" s="4">
        <v>3.7876699999999999E-3</v>
      </c>
      <c r="G268" s="4">
        <v>4</v>
      </c>
      <c r="H268" s="4">
        <v>8</v>
      </c>
      <c r="I268" s="4">
        <v>1</v>
      </c>
      <c r="J268" s="4">
        <v>2</v>
      </c>
      <c r="K268" s="4" t="s">
        <v>329</v>
      </c>
      <c r="L268" s="4" t="s">
        <v>330</v>
      </c>
      <c r="M268" s="4" t="s">
        <v>34</v>
      </c>
      <c r="N268" s="4">
        <v>0</v>
      </c>
      <c r="O268" s="4">
        <v>1090.53097</v>
      </c>
      <c r="P268" s="4" t="s">
        <v>30</v>
      </c>
      <c r="Q268" s="4" t="s">
        <v>30</v>
      </c>
      <c r="R268" s="4">
        <v>1.7669999999999999E-3</v>
      </c>
      <c r="S268" s="4">
        <v>2.138E-2</v>
      </c>
      <c r="T268" s="4">
        <v>1.49</v>
      </c>
    </row>
    <row r="269" spans="1:30" hidden="1" outlineLevel="1" collapsed="1" x14ac:dyDescent="0.2">
      <c r="A269" t="s">
        <v>34</v>
      </c>
      <c r="B269" s="4" t="s">
        <v>30</v>
      </c>
      <c r="C269" s="4" t="s">
        <v>328</v>
      </c>
      <c r="D269" s="4" t="s">
        <v>331</v>
      </c>
      <c r="E269" s="4">
        <v>2.27744E-2</v>
      </c>
      <c r="F269" s="4">
        <v>3.7876699999999999E-3</v>
      </c>
      <c r="G269" s="4">
        <v>4</v>
      </c>
      <c r="H269" s="4">
        <v>8</v>
      </c>
      <c r="I269" s="4">
        <v>1</v>
      </c>
      <c r="J269" s="4">
        <v>16</v>
      </c>
      <c r="K269" s="4" t="s">
        <v>329</v>
      </c>
      <c r="L269" s="4" t="s">
        <v>330</v>
      </c>
      <c r="M269" s="4" t="s">
        <v>34</v>
      </c>
      <c r="N269" s="4">
        <v>0</v>
      </c>
      <c r="O269" s="4">
        <v>1106.5258799999999</v>
      </c>
      <c r="P269" s="4" t="s">
        <v>30</v>
      </c>
      <c r="Q269" s="4" t="s">
        <v>30</v>
      </c>
      <c r="R269" s="4">
        <v>1.7669999999999999E-3</v>
      </c>
      <c r="S269" s="4">
        <v>8.9359999999999995E-3</v>
      </c>
      <c r="T269" s="4">
        <v>2.31</v>
      </c>
    </row>
    <row r="270" spans="1:30" collapsed="1" x14ac:dyDescent="0.2">
      <c r="A270" s="3" t="s">
        <v>30</v>
      </c>
      <c r="B270" s="3" t="s">
        <v>31</v>
      </c>
      <c r="C270" s="3" t="s">
        <v>511</v>
      </c>
      <c r="D270" s="3" t="s">
        <v>512</v>
      </c>
      <c r="E270" s="3">
        <v>0</v>
      </c>
      <c r="F270" s="3">
        <v>20.001000000000001</v>
      </c>
      <c r="G270" s="3">
        <v>18</v>
      </c>
      <c r="H270" s="3">
        <v>9</v>
      </c>
      <c r="I270" s="3">
        <v>9</v>
      </c>
      <c r="J270" s="3">
        <v>29</v>
      </c>
      <c r="K270" s="3">
        <v>1</v>
      </c>
      <c r="L270" s="3">
        <v>431</v>
      </c>
      <c r="M270" s="3">
        <v>47.9</v>
      </c>
      <c r="N270" s="3">
        <v>5.0199999999999996</v>
      </c>
      <c r="O270" s="3">
        <v>21.58</v>
      </c>
      <c r="P270" s="3">
        <v>9</v>
      </c>
      <c r="Q270" s="3" t="s">
        <v>34</v>
      </c>
      <c r="R270" s="3" t="s">
        <v>34</v>
      </c>
      <c r="S270" s="3" t="s">
        <v>34</v>
      </c>
      <c r="T270" s="3" t="s">
        <v>34</v>
      </c>
      <c r="U270" s="3" t="s">
        <v>34</v>
      </c>
      <c r="V270" s="3" t="s">
        <v>511</v>
      </c>
      <c r="W270" s="3" t="s">
        <v>34</v>
      </c>
      <c r="X270" s="3" t="s">
        <v>34</v>
      </c>
      <c r="Y270" s="3" t="s">
        <v>34</v>
      </c>
      <c r="Z270" s="3" t="s">
        <v>34</v>
      </c>
      <c r="AA270" s="3">
        <v>0</v>
      </c>
      <c r="AB270" s="3" t="s">
        <v>30</v>
      </c>
      <c r="AC270" s="3">
        <v>1</v>
      </c>
      <c r="AD270" s="3" t="s">
        <v>34</v>
      </c>
    </row>
    <row r="271" spans="1:30" hidden="1" outlineLevel="1" collapsed="1" x14ac:dyDescent="0.2">
      <c r="A271" t="s">
        <v>34</v>
      </c>
      <c r="B271" s="2" t="s">
        <v>36</v>
      </c>
      <c r="C271" s="2" t="s">
        <v>37</v>
      </c>
      <c r="D271" s="2" t="s">
        <v>29</v>
      </c>
      <c r="E271" s="2" t="s">
        <v>38</v>
      </c>
      <c r="F271" s="2" t="s">
        <v>39</v>
      </c>
      <c r="G271" s="2" t="s">
        <v>28</v>
      </c>
      <c r="H271" s="2" t="s">
        <v>40</v>
      </c>
      <c r="I271" s="2" t="s">
        <v>8</v>
      </c>
      <c r="J271" s="2" t="s">
        <v>9</v>
      </c>
      <c r="K271" s="2" t="s">
        <v>41</v>
      </c>
      <c r="L271" s="2" t="s">
        <v>42</v>
      </c>
      <c r="M271" s="2" t="s">
        <v>43</v>
      </c>
      <c r="N271" s="2" t="s">
        <v>44</v>
      </c>
      <c r="O271" s="2" t="s">
        <v>45</v>
      </c>
      <c r="P271" s="2" t="s">
        <v>27</v>
      </c>
      <c r="Q271" s="2" t="s">
        <v>46</v>
      </c>
      <c r="R271" s="2" t="s">
        <v>47</v>
      </c>
      <c r="S271" s="2" t="s">
        <v>48</v>
      </c>
      <c r="T271" s="2" t="s">
        <v>49</v>
      </c>
    </row>
    <row r="272" spans="1:30" hidden="1" outlineLevel="1" collapsed="1" x14ac:dyDescent="0.2">
      <c r="A272" t="s">
        <v>34</v>
      </c>
      <c r="B272" s="4" t="s">
        <v>30</v>
      </c>
      <c r="C272" s="4" t="s">
        <v>513</v>
      </c>
      <c r="D272" s="4" t="s">
        <v>34</v>
      </c>
      <c r="E272" s="4">
        <v>1.4031699999999999E-2</v>
      </c>
      <c r="F272" s="4">
        <v>3.7876699999999999E-3</v>
      </c>
      <c r="G272" s="4">
        <v>1</v>
      </c>
      <c r="H272" s="4">
        <v>1</v>
      </c>
      <c r="I272" s="4">
        <v>1</v>
      </c>
      <c r="J272" s="4">
        <v>1</v>
      </c>
      <c r="K272" s="4" t="s">
        <v>511</v>
      </c>
      <c r="L272" s="4" t="s">
        <v>514</v>
      </c>
      <c r="M272" s="4" t="s">
        <v>34</v>
      </c>
      <c r="N272" s="4">
        <v>0</v>
      </c>
      <c r="O272" s="4">
        <v>1403.6761100000001</v>
      </c>
      <c r="P272" s="4" t="s">
        <v>30</v>
      </c>
      <c r="Q272" s="4" t="s">
        <v>30</v>
      </c>
      <c r="R272" s="4">
        <v>1.7669999999999999E-3</v>
      </c>
      <c r="S272" s="4">
        <v>5.1799999999999997E-3</v>
      </c>
      <c r="T272" s="4">
        <v>2.11</v>
      </c>
    </row>
    <row r="273" spans="1:30" hidden="1" outlineLevel="1" collapsed="1" x14ac:dyDescent="0.2">
      <c r="A273" t="s">
        <v>34</v>
      </c>
      <c r="B273" s="4" t="s">
        <v>30</v>
      </c>
      <c r="C273" s="4" t="s">
        <v>395</v>
      </c>
      <c r="D273" s="4" t="s">
        <v>396</v>
      </c>
      <c r="E273" s="4">
        <v>7.69098E-3</v>
      </c>
      <c r="F273" s="4">
        <v>3.7876699999999999E-3</v>
      </c>
      <c r="G273" s="4">
        <v>2</v>
      </c>
      <c r="H273" s="4">
        <v>2</v>
      </c>
      <c r="I273" s="4">
        <v>1</v>
      </c>
      <c r="J273" s="4">
        <v>2</v>
      </c>
      <c r="K273" s="4" t="s">
        <v>397</v>
      </c>
      <c r="L273" s="4" t="s">
        <v>398</v>
      </c>
      <c r="M273" s="4" t="s">
        <v>34</v>
      </c>
      <c r="N273" s="4">
        <v>0</v>
      </c>
      <c r="O273" s="4">
        <v>1502.58862</v>
      </c>
      <c r="P273" s="4" t="s">
        <v>30</v>
      </c>
      <c r="Q273" s="4" t="s">
        <v>30</v>
      </c>
      <c r="R273" s="4">
        <v>1.7669999999999999E-3</v>
      </c>
      <c r="S273" s="4">
        <v>2.6489999999999999E-3</v>
      </c>
      <c r="T273" s="4">
        <v>2.73</v>
      </c>
    </row>
    <row r="274" spans="1:30" hidden="1" outlineLevel="1" collapsed="1" x14ac:dyDescent="0.2">
      <c r="A274" t="s">
        <v>34</v>
      </c>
      <c r="B274" s="4" t="s">
        <v>30</v>
      </c>
      <c r="C274" s="4" t="s">
        <v>403</v>
      </c>
      <c r="D274" s="4" t="s">
        <v>34</v>
      </c>
      <c r="E274" s="4">
        <v>7.7606300000000001E-4</v>
      </c>
      <c r="F274" s="4">
        <v>3.7876699999999999E-3</v>
      </c>
      <c r="G274" s="4">
        <v>2</v>
      </c>
      <c r="H274" s="4">
        <v>2</v>
      </c>
      <c r="I274" s="4">
        <v>1</v>
      </c>
      <c r="J274" s="4">
        <v>2</v>
      </c>
      <c r="K274" s="4" t="s">
        <v>397</v>
      </c>
      <c r="L274" s="4" t="s">
        <v>404</v>
      </c>
      <c r="M274" s="4" t="s">
        <v>34</v>
      </c>
      <c r="N274" s="4">
        <v>0</v>
      </c>
      <c r="O274" s="4">
        <v>1361.6907000000001</v>
      </c>
      <c r="P274" s="4" t="s">
        <v>30</v>
      </c>
      <c r="Q274" s="4" t="s">
        <v>30</v>
      </c>
      <c r="R274" s="4">
        <v>1.7669999999999999E-3</v>
      </c>
      <c r="S274" s="4">
        <v>2.0379999999999999E-4</v>
      </c>
      <c r="T274" s="4">
        <v>3.3</v>
      </c>
    </row>
    <row r="275" spans="1:30" hidden="1" outlineLevel="1" collapsed="1" x14ac:dyDescent="0.2">
      <c r="A275" t="s">
        <v>34</v>
      </c>
      <c r="B275" s="4" t="s">
        <v>30</v>
      </c>
      <c r="C275" s="4" t="s">
        <v>287</v>
      </c>
      <c r="D275" s="4" t="s">
        <v>34</v>
      </c>
      <c r="E275" s="4">
        <v>3.83188E-2</v>
      </c>
      <c r="F275" s="4">
        <v>3.7876699999999999E-3</v>
      </c>
      <c r="G275" s="4">
        <v>7</v>
      </c>
      <c r="H275" s="4">
        <v>27</v>
      </c>
      <c r="I275" s="4">
        <v>1</v>
      </c>
      <c r="J275" s="4">
        <v>13</v>
      </c>
      <c r="K275" s="4" t="s">
        <v>288</v>
      </c>
      <c r="L275" s="4" t="s">
        <v>289</v>
      </c>
      <c r="M275" s="4" t="s">
        <v>34</v>
      </c>
      <c r="N275" s="4">
        <v>0</v>
      </c>
      <c r="O275" s="4">
        <v>807.39954</v>
      </c>
      <c r="P275" s="4" t="s">
        <v>30</v>
      </c>
      <c r="Q275" s="4" t="s">
        <v>30</v>
      </c>
      <c r="R275" s="4">
        <v>1.7669999999999999E-3</v>
      </c>
      <c r="S275" s="4">
        <v>1.5970000000000002E-2</v>
      </c>
      <c r="T275" s="4">
        <v>1.35</v>
      </c>
    </row>
    <row r="276" spans="1:30" hidden="1" outlineLevel="1" collapsed="1" x14ac:dyDescent="0.2">
      <c r="A276" t="s">
        <v>34</v>
      </c>
      <c r="B276" s="4" t="s">
        <v>30</v>
      </c>
      <c r="C276" s="4" t="s">
        <v>290</v>
      </c>
      <c r="D276" s="4" t="s">
        <v>34</v>
      </c>
      <c r="E276" s="4">
        <v>6.4436499999999994E-2</v>
      </c>
      <c r="F276" s="4">
        <v>3.7876699999999999E-3</v>
      </c>
      <c r="G276" s="4">
        <v>6</v>
      </c>
      <c r="H276" s="4">
        <v>14</v>
      </c>
      <c r="I276" s="4">
        <v>1</v>
      </c>
      <c r="J276" s="4">
        <v>6</v>
      </c>
      <c r="K276" s="4" t="s">
        <v>291</v>
      </c>
      <c r="L276" s="4" t="s">
        <v>292</v>
      </c>
      <c r="M276" s="4" t="s">
        <v>34</v>
      </c>
      <c r="N276" s="4">
        <v>0</v>
      </c>
      <c r="O276" s="4">
        <v>809.44034999999997</v>
      </c>
      <c r="P276" s="4" t="s">
        <v>30</v>
      </c>
      <c r="Q276" s="4" t="s">
        <v>30</v>
      </c>
      <c r="R276" s="4">
        <v>1.7669999999999999E-3</v>
      </c>
      <c r="S276" s="4">
        <v>2.8740000000000002E-2</v>
      </c>
      <c r="T276" s="4">
        <v>1.0900000000000001</v>
      </c>
    </row>
    <row r="277" spans="1:30" hidden="1" outlineLevel="1" collapsed="1" x14ac:dyDescent="0.2">
      <c r="A277" t="s">
        <v>34</v>
      </c>
      <c r="B277" s="4" t="s">
        <v>30</v>
      </c>
      <c r="C277" s="4" t="s">
        <v>293</v>
      </c>
      <c r="D277" s="4" t="s">
        <v>34</v>
      </c>
      <c r="E277" s="4">
        <v>0.108998</v>
      </c>
      <c r="F277" s="4">
        <v>3.7876699999999999E-3</v>
      </c>
      <c r="G277" s="4">
        <v>5</v>
      </c>
      <c r="H277" s="4">
        <v>11</v>
      </c>
      <c r="I277" s="4">
        <v>1</v>
      </c>
      <c r="J277" s="4">
        <v>1</v>
      </c>
      <c r="K277" s="4" t="s">
        <v>294</v>
      </c>
      <c r="L277" s="4" t="s">
        <v>295</v>
      </c>
      <c r="M277" s="4" t="s">
        <v>34</v>
      </c>
      <c r="N277" s="4">
        <v>1</v>
      </c>
      <c r="O277" s="4">
        <v>1064.60987</v>
      </c>
      <c r="P277" s="4" t="s">
        <v>30</v>
      </c>
      <c r="Q277" s="4" t="s">
        <v>30</v>
      </c>
      <c r="R277" s="4">
        <v>1.7669999999999999E-3</v>
      </c>
      <c r="S277" s="4">
        <v>5.2560000000000003E-2</v>
      </c>
      <c r="T277" s="4">
        <v>1.46</v>
      </c>
    </row>
    <row r="278" spans="1:30" hidden="1" outlineLevel="1" collapsed="1" x14ac:dyDescent="0.2">
      <c r="A278" t="s">
        <v>34</v>
      </c>
      <c r="B278" s="4" t="s">
        <v>30</v>
      </c>
      <c r="C278" s="4" t="s">
        <v>407</v>
      </c>
      <c r="D278" s="4" t="s">
        <v>34</v>
      </c>
      <c r="E278" s="4">
        <v>2.07748E-2</v>
      </c>
      <c r="F278" s="4">
        <v>3.7876699999999999E-3</v>
      </c>
      <c r="G278" s="4">
        <v>5</v>
      </c>
      <c r="H278" s="4">
        <v>10</v>
      </c>
      <c r="I278" s="4">
        <v>1</v>
      </c>
      <c r="J278" s="4">
        <v>1</v>
      </c>
      <c r="K278" s="4" t="s">
        <v>408</v>
      </c>
      <c r="L278" s="4" t="s">
        <v>409</v>
      </c>
      <c r="M278" s="4" t="s">
        <v>34</v>
      </c>
      <c r="N278" s="4">
        <v>0</v>
      </c>
      <c r="O278" s="4">
        <v>1122.5789600000001</v>
      </c>
      <c r="P278" s="4" t="s">
        <v>30</v>
      </c>
      <c r="Q278" s="4" t="s">
        <v>30</v>
      </c>
      <c r="R278" s="4">
        <v>1.7669999999999999E-3</v>
      </c>
      <c r="S278" s="4">
        <v>8.0569999999999999E-3</v>
      </c>
      <c r="T278" s="4">
        <v>2.4</v>
      </c>
    </row>
    <row r="279" spans="1:30" hidden="1" outlineLevel="1" collapsed="1" x14ac:dyDescent="0.2">
      <c r="A279" t="s">
        <v>34</v>
      </c>
      <c r="B279" s="4" t="s">
        <v>30</v>
      </c>
      <c r="C279" s="4" t="s">
        <v>416</v>
      </c>
      <c r="D279" s="4" t="s">
        <v>34</v>
      </c>
      <c r="E279" s="4">
        <v>4.5964900000000003E-2</v>
      </c>
      <c r="F279" s="4">
        <v>3.7876699999999999E-3</v>
      </c>
      <c r="G279" s="4">
        <v>2</v>
      </c>
      <c r="H279" s="4">
        <v>2</v>
      </c>
      <c r="I279" s="4">
        <v>1</v>
      </c>
      <c r="J279" s="4">
        <v>2</v>
      </c>
      <c r="K279" s="4" t="s">
        <v>397</v>
      </c>
      <c r="L279" s="4" t="s">
        <v>417</v>
      </c>
      <c r="M279" s="4" t="s">
        <v>34</v>
      </c>
      <c r="N279" s="4">
        <v>0</v>
      </c>
      <c r="O279" s="4">
        <v>833.43632000000002</v>
      </c>
      <c r="P279" s="4" t="s">
        <v>30</v>
      </c>
      <c r="Q279" s="4" t="s">
        <v>30</v>
      </c>
      <c r="R279" s="4">
        <v>1.7669999999999999E-3</v>
      </c>
      <c r="S279" s="4">
        <v>1.9619999999999999E-2</v>
      </c>
      <c r="T279" s="4">
        <v>1.67</v>
      </c>
    </row>
    <row r="280" spans="1:30" hidden="1" outlineLevel="1" collapsed="1" x14ac:dyDescent="0.2">
      <c r="A280" t="s">
        <v>34</v>
      </c>
      <c r="B280" s="4" t="s">
        <v>30</v>
      </c>
      <c r="C280" s="4" t="s">
        <v>418</v>
      </c>
      <c r="D280" s="4" t="s">
        <v>34</v>
      </c>
      <c r="E280" s="4">
        <v>1.81412E-2</v>
      </c>
      <c r="F280" s="4">
        <v>3.7876699999999999E-3</v>
      </c>
      <c r="G280" s="4">
        <v>4</v>
      </c>
      <c r="H280" s="4">
        <v>8</v>
      </c>
      <c r="I280" s="4">
        <v>1</v>
      </c>
      <c r="J280" s="4">
        <v>1</v>
      </c>
      <c r="K280" s="4" t="s">
        <v>419</v>
      </c>
      <c r="L280" s="4" t="s">
        <v>420</v>
      </c>
      <c r="M280" s="4" t="s">
        <v>34</v>
      </c>
      <c r="N280" s="4">
        <v>0</v>
      </c>
      <c r="O280" s="4">
        <v>1029.5938900000001</v>
      </c>
      <c r="P280" s="4" t="s">
        <v>30</v>
      </c>
      <c r="Q280" s="4" t="s">
        <v>30</v>
      </c>
      <c r="R280" s="4">
        <v>1.7669999999999999E-3</v>
      </c>
      <c r="S280" s="4">
        <v>6.8910000000000004E-3</v>
      </c>
      <c r="T280" s="4">
        <v>2.13</v>
      </c>
    </row>
    <row r="281" spans="1:30" collapsed="1" x14ac:dyDescent="0.2">
      <c r="A281" s="3" t="s">
        <v>30</v>
      </c>
      <c r="B281" s="3" t="s">
        <v>31</v>
      </c>
      <c r="C281" s="3" t="s">
        <v>515</v>
      </c>
      <c r="D281" s="3" t="s">
        <v>516</v>
      </c>
      <c r="E281" s="3">
        <v>0</v>
      </c>
      <c r="F281" s="3">
        <v>18.286000000000001</v>
      </c>
      <c r="G281" s="3">
        <v>6</v>
      </c>
      <c r="H281" s="3">
        <v>10</v>
      </c>
      <c r="I281" s="3">
        <v>10</v>
      </c>
      <c r="J281" s="3">
        <v>11</v>
      </c>
      <c r="K281" s="3">
        <v>10</v>
      </c>
      <c r="L281" s="3">
        <v>1513</v>
      </c>
      <c r="M281" s="3">
        <v>174.1</v>
      </c>
      <c r="N281" s="3">
        <v>6.32</v>
      </c>
      <c r="O281" s="3">
        <v>10.24</v>
      </c>
      <c r="P281" s="3">
        <v>10</v>
      </c>
      <c r="Q281" s="3" t="s">
        <v>517</v>
      </c>
      <c r="R281" s="3" t="s">
        <v>518</v>
      </c>
      <c r="S281" s="3" t="s">
        <v>338</v>
      </c>
      <c r="T281" s="3" t="s">
        <v>519</v>
      </c>
      <c r="U281" s="3" t="s">
        <v>520</v>
      </c>
      <c r="V281" s="3" t="s">
        <v>521</v>
      </c>
      <c r="W281" s="3" t="s">
        <v>34</v>
      </c>
      <c r="X281" s="3" t="s">
        <v>522</v>
      </c>
      <c r="Y281" s="3" t="s">
        <v>34</v>
      </c>
      <c r="Z281" s="3" t="s">
        <v>34</v>
      </c>
      <c r="AA281" s="3">
        <v>0</v>
      </c>
      <c r="AB281" s="3" t="s">
        <v>30</v>
      </c>
      <c r="AC281" s="3">
        <v>1</v>
      </c>
      <c r="AD281" s="3" t="s">
        <v>34</v>
      </c>
    </row>
    <row r="282" spans="1:30" hidden="1" outlineLevel="1" collapsed="1" x14ac:dyDescent="0.2">
      <c r="A282" t="s">
        <v>34</v>
      </c>
      <c r="B282" s="2" t="s">
        <v>36</v>
      </c>
      <c r="C282" s="2" t="s">
        <v>37</v>
      </c>
      <c r="D282" s="2" t="s">
        <v>29</v>
      </c>
      <c r="E282" s="2" t="s">
        <v>38</v>
      </c>
      <c r="F282" s="2" t="s">
        <v>39</v>
      </c>
      <c r="G282" s="2" t="s">
        <v>28</v>
      </c>
      <c r="H282" s="2" t="s">
        <v>40</v>
      </c>
      <c r="I282" s="2" t="s">
        <v>8</v>
      </c>
      <c r="J282" s="2" t="s">
        <v>9</v>
      </c>
      <c r="K282" s="2" t="s">
        <v>41</v>
      </c>
      <c r="L282" s="2" t="s">
        <v>42</v>
      </c>
      <c r="M282" s="2" t="s">
        <v>43</v>
      </c>
      <c r="N282" s="2" t="s">
        <v>44</v>
      </c>
      <c r="O282" s="2" t="s">
        <v>45</v>
      </c>
      <c r="P282" s="2" t="s">
        <v>27</v>
      </c>
      <c r="Q282" s="2" t="s">
        <v>46</v>
      </c>
      <c r="R282" s="2" t="s">
        <v>47</v>
      </c>
      <c r="S282" s="2" t="s">
        <v>48</v>
      </c>
      <c r="T282" s="2" t="s">
        <v>49</v>
      </c>
    </row>
    <row r="283" spans="1:30" hidden="1" outlineLevel="1" collapsed="1" x14ac:dyDescent="0.2">
      <c r="A283" t="s">
        <v>34</v>
      </c>
      <c r="B283" s="4" t="s">
        <v>30</v>
      </c>
      <c r="C283" s="4" t="s">
        <v>523</v>
      </c>
      <c r="D283" s="4" t="s">
        <v>34</v>
      </c>
      <c r="E283" s="4">
        <v>4.7588200000000004E-3</v>
      </c>
      <c r="F283" s="4">
        <v>3.7876699999999999E-3</v>
      </c>
      <c r="G283" s="4">
        <v>1</v>
      </c>
      <c r="H283" s="4">
        <v>1</v>
      </c>
      <c r="I283" s="4">
        <v>1</v>
      </c>
      <c r="J283" s="4">
        <v>1</v>
      </c>
      <c r="K283" s="4" t="s">
        <v>515</v>
      </c>
      <c r="L283" s="4" t="s">
        <v>524</v>
      </c>
      <c r="M283" s="4" t="s">
        <v>34</v>
      </c>
      <c r="N283" s="4">
        <v>0</v>
      </c>
      <c r="O283" s="4">
        <v>1488.7904100000001</v>
      </c>
      <c r="P283" s="4" t="s">
        <v>30</v>
      </c>
      <c r="Q283" s="4" t="s">
        <v>30</v>
      </c>
      <c r="R283" s="4">
        <v>1.7669999999999999E-3</v>
      </c>
      <c r="S283" s="4">
        <v>1.5529999999999999E-3</v>
      </c>
      <c r="T283" s="4">
        <v>2.79</v>
      </c>
    </row>
    <row r="284" spans="1:30" hidden="1" outlineLevel="1" collapsed="1" x14ac:dyDescent="0.2">
      <c r="A284" t="s">
        <v>34</v>
      </c>
      <c r="B284" s="4" t="s">
        <v>30</v>
      </c>
      <c r="C284" s="4" t="s">
        <v>525</v>
      </c>
      <c r="D284" s="4" t="s">
        <v>34</v>
      </c>
      <c r="E284" s="4">
        <v>1.5752800000000001E-3</v>
      </c>
      <c r="F284" s="4">
        <v>3.7876699999999999E-3</v>
      </c>
      <c r="G284" s="4">
        <v>1</v>
      </c>
      <c r="H284" s="4">
        <v>1</v>
      </c>
      <c r="I284" s="4">
        <v>1</v>
      </c>
      <c r="J284" s="4">
        <v>1</v>
      </c>
      <c r="K284" s="4" t="s">
        <v>515</v>
      </c>
      <c r="L284" s="4" t="s">
        <v>526</v>
      </c>
      <c r="M284" s="4" t="s">
        <v>34</v>
      </c>
      <c r="N284" s="4">
        <v>0</v>
      </c>
      <c r="O284" s="4">
        <v>1323.6426899999999</v>
      </c>
      <c r="P284" s="4" t="s">
        <v>30</v>
      </c>
      <c r="Q284" s="4" t="s">
        <v>30</v>
      </c>
      <c r="R284" s="4">
        <v>1.7669999999999999E-3</v>
      </c>
      <c r="S284" s="4">
        <v>4.5160000000000003E-4</v>
      </c>
      <c r="T284" s="4">
        <v>1.77</v>
      </c>
    </row>
    <row r="285" spans="1:30" hidden="1" outlineLevel="1" collapsed="1" x14ac:dyDescent="0.2">
      <c r="A285" t="s">
        <v>34</v>
      </c>
      <c r="B285" s="4" t="s">
        <v>30</v>
      </c>
      <c r="C285" s="4" t="s">
        <v>527</v>
      </c>
      <c r="D285" s="4" t="s">
        <v>34</v>
      </c>
      <c r="E285" s="4">
        <v>4.5310599999999999E-2</v>
      </c>
      <c r="F285" s="4">
        <v>3.7876699999999999E-3</v>
      </c>
      <c r="G285" s="4">
        <v>1</v>
      </c>
      <c r="H285" s="4">
        <v>1</v>
      </c>
      <c r="I285" s="4">
        <v>1</v>
      </c>
      <c r="J285" s="4">
        <v>1</v>
      </c>
      <c r="K285" s="4" t="s">
        <v>515</v>
      </c>
      <c r="L285" s="4" t="s">
        <v>528</v>
      </c>
      <c r="M285" s="4" t="s">
        <v>34</v>
      </c>
      <c r="N285" s="4">
        <v>0</v>
      </c>
      <c r="O285" s="4">
        <v>1237.6211599999999</v>
      </c>
      <c r="P285" s="4" t="s">
        <v>30</v>
      </c>
      <c r="Q285" s="4" t="s">
        <v>30</v>
      </c>
      <c r="R285" s="4">
        <v>1.7669999999999999E-3</v>
      </c>
      <c r="S285" s="4">
        <v>1.9279999999999999E-2</v>
      </c>
      <c r="T285" s="4">
        <v>1.1200000000000001</v>
      </c>
    </row>
    <row r="286" spans="1:30" hidden="1" outlineLevel="1" collapsed="1" x14ac:dyDescent="0.2">
      <c r="A286" t="s">
        <v>34</v>
      </c>
      <c r="B286" s="4" t="s">
        <v>30</v>
      </c>
      <c r="C286" s="4" t="s">
        <v>529</v>
      </c>
      <c r="D286" s="4" t="s">
        <v>34</v>
      </c>
      <c r="E286" s="4">
        <v>3.5315699999999998E-2</v>
      </c>
      <c r="F286" s="4">
        <v>3.7876699999999999E-3</v>
      </c>
      <c r="G286" s="4">
        <v>1</v>
      </c>
      <c r="H286" s="4">
        <v>1</v>
      </c>
      <c r="I286" s="4">
        <v>1</v>
      </c>
      <c r="J286" s="4">
        <v>1</v>
      </c>
      <c r="K286" s="4" t="s">
        <v>515</v>
      </c>
      <c r="L286" s="4" t="s">
        <v>530</v>
      </c>
      <c r="M286" s="4" t="s">
        <v>34</v>
      </c>
      <c r="N286" s="4">
        <v>0</v>
      </c>
      <c r="O286" s="4">
        <v>1063.53783</v>
      </c>
      <c r="P286" s="4" t="s">
        <v>30</v>
      </c>
      <c r="Q286" s="4" t="s">
        <v>30</v>
      </c>
      <c r="R286" s="4">
        <v>1.7669999999999999E-3</v>
      </c>
      <c r="S286" s="4">
        <v>1.4540000000000001E-2</v>
      </c>
      <c r="T286" s="4">
        <v>1.96</v>
      </c>
    </row>
    <row r="287" spans="1:30" hidden="1" outlineLevel="1" collapsed="1" x14ac:dyDescent="0.2">
      <c r="A287" t="s">
        <v>34</v>
      </c>
      <c r="B287" s="4" t="s">
        <v>30</v>
      </c>
      <c r="C287" s="4" t="s">
        <v>531</v>
      </c>
      <c r="D287" s="4" t="s">
        <v>34</v>
      </c>
      <c r="E287" s="4">
        <v>0.20402100000000001</v>
      </c>
      <c r="F287" s="4">
        <v>9.5666499999999995E-3</v>
      </c>
      <c r="G287" s="4">
        <v>1</v>
      </c>
      <c r="H287" s="4">
        <v>1</v>
      </c>
      <c r="I287" s="4">
        <v>1</v>
      </c>
      <c r="J287" s="4">
        <v>1</v>
      </c>
      <c r="K287" s="4" t="s">
        <v>515</v>
      </c>
      <c r="L287" s="4" t="s">
        <v>532</v>
      </c>
      <c r="M287" s="4" t="s">
        <v>34</v>
      </c>
      <c r="N287" s="4">
        <v>0</v>
      </c>
      <c r="O287" s="4">
        <v>763.40971000000002</v>
      </c>
      <c r="P287" s="4" t="s">
        <v>30</v>
      </c>
      <c r="Q287" s="4" t="s">
        <v>30</v>
      </c>
      <c r="R287" s="4">
        <v>4.1380000000000002E-3</v>
      </c>
      <c r="S287" s="4">
        <v>0.1089</v>
      </c>
      <c r="T287" s="4">
        <v>1.48</v>
      </c>
    </row>
    <row r="288" spans="1:30" hidden="1" outlineLevel="1" collapsed="1" x14ac:dyDescent="0.2">
      <c r="A288" t="s">
        <v>34</v>
      </c>
      <c r="B288" s="4" t="s">
        <v>30</v>
      </c>
      <c r="C288" s="4" t="s">
        <v>533</v>
      </c>
      <c r="D288" s="4" t="s">
        <v>34</v>
      </c>
      <c r="E288" s="4">
        <v>6.2928200000000004E-2</v>
      </c>
      <c r="F288" s="4">
        <v>3.7876699999999999E-3</v>
      </c>
      <c r="G288" s="4">
        <v>1</v>
      </c>
      <c r="H288" s="4">
        <v>1</v>
      </c>
      <c r="I288" s="4">
        <v>1</v>
      </c>
      <c r="J288" s="4">
        <v>1</v>
      </c>
      <c r="K288" s="4" t="s">
        <v>515</v>
      </c>
      <c r="L288" s="4" t="s">
        <v>534</v>
      </c>
      <c r="M288" s="4" t="s">
        <v>34</v>
      </c>
      <c r="N288" s="4">
        <v>0</v>
      </c>
      <c r="O288" s="4">
        <v>1200.6582800000001</v>
      </c>
      <c r="P288" s="4" t="s">
        <v>30</v>
      </c>
      <c r="Q288" s="4" t="s">
        <v>30</v>
      </c>
      <c r="R288" s="4">
        <v>1.7669999999999999E-3</v>
      </c>
      <c r="S288" s="4">
        <v>2.7990000000000001E-2</v>
      </c>
      <c r="T288" s="4">
        <v>2.0499999999999998</v>
      </c>
    </row>
    <row r="289" spans="1:30" hidden="1" outlineLevel="1" collapsed="1" x14ac:dyDescent="0.2">
      <c r="A289" t="s">
        <v>34</v>
      </c>
      <c r="B289" s="4" t="s">
        <v>30</v>
      </c>
      <c r="C289" s="4" t="s">
        <v>535</v>
      </c>
      <c r="D289" s="4" t="s">
        <v>34</v>
      </c>
      <c r="E289" s="4">
        <v>4.4029199999999998E-2</v>
      </c>
      <c r="F289" s="4">
        <v>3.7876699999999999E-3</v>
      </c>
      <c r="G289" s="4">
        <v>1</v>
      </c>
      <c r="H289" s="4">
        <v>1</v>
      </c>
      <c r="I289" s="4">
        <v>1</v>
      </c>
      <c r="J289" s="4">
        <v>1</v>
      </c>
      <c r="K289" s="4" t="s">
        <v>515</v>
      </c>
      <c r="L289" s="4" t="s">
        <v>536</v>
      </c>
      <c r="M289" s="4" t="s">
        <v>34</v>
      </c>
      <c r="N289" s="4">
        <v>0</v>
      </c>
      <c r="O289" s="4">
        <v>762.43559000000005</v>
      </c>
      <c r="P289" s="4" t="s">
        <v>30</v>
      </c>
      <c r="Q289" s="4" t="s">
        <v>30</v>
      </c>
      <c r="R289" s="4">
        <v>1.7669999999999999E-3</v>
      </c>
      <c r="S289" s="4">
        <v>1.865E-2</v>
      </c>
      <c r="T289" s="4">
        <v>1.07</v>
      </c>
    </row>
    <row r="290" spans="1:30" hidden="1" outlineLevel="1" collapsed="1" x14ac:dyDescent="0.2">
      <c r="A290" t="s">
        <v>34</v>
      </c>
      <c r="B290" s="4" t="s">
        <v>30</v>
      </c>
      <c r="C290" s="4" t="s">
        <v>537</v>
      </c>
      <c r="D290" s="4" t="s">
        <v>58</v>
      </c>
      <c r="E290" s="4">
        <v>8.5101800000000005E-2</v>
      </c>
      <c r="F290" s="4">
        <v>3.7876699999999999E-3</v>
      </c>
      <c r="G290" s="4">
        <v>1</v>
      </c>
      <c r="H290" s="4">
        <v>1</v>
      </c>
      <c r="I290" s="4">
        <v>1</v>
      </c>
      <c r="J290" s="4">
        <v>2</v>
      </c>
      <c r="K290" s="4" t="s">
        <v>515</v>
      </c>
      <c r="L290" s="4" t="s">
        <v>538</v>
      </c>
      <c r="M290" s="4" t="s">
        <v>34</v>
      </c>
      <c r="N290" s="4">
        <v>0</v>
      </c>
      <c r="O290" s="4">
        <v>978.45606999999995</v>
      </c>
      <c r="P290" s="4" t="s">
        <v>30</v>
      </c>
      <c r="Q290" s="4" t="s">
        <v>30</v>
      </c>
      <c r="R290" s="4">
        <v>1.7669999999999999E-3</v>
      </c>
      <c r="S290" s="4">
        <v>3.9440000000000003E-2</v>
      </c>
      <c r="T290" s="4">
        <v>1.1599999999999999</v>
      </c>
    </row>
    <row r="291" spans="1:30" hidden="1" outlineLevel="1" collapsed="1" x14ac:dyDescent="0.2">
      <c r="A291" t="s">
        <v>34</v>
      </c>
      <c r="B291" s="4" t="s">
        <v>30</v>
      </c>
      <c r="C291" s="4" t="s">
        <v>539</v>
      </c>
      <c r="D291" s="4" t="s">
        <v>34</v>
      </c>
      <c r="E291" s="4">
        <v>9.7930799999999998E-2</v>
      </c>
      <c r="F291" s="4">
        <v>3.7876699999999999E-3</v>
      </c>
      <c r="G291" s="4">
        <v>1</v>
      </c>
      <c r="H291" s="4">
        <v>1</v>
      </c>
      <c r="I291" s="4">
        <v>1</v>
      </c>
      <c r="J291" s="4">
        <v>1</v>
      </c>
      <c r="K291" s="4" t="s">
        <v>515</v>
      </c>
      <c r="L291" s="4" t="s">
        <v>540</v>
      </c>
      <c r="M291" s="4" t="s">
        <v>34</v>
      </c>
      <c r="N291" s="4">
        <v>0</v>
      </c>
      <c r="O291" s="4">
        <v>818.46181000000001</v>
      </c>
      <c r="P291" s="4" t="s">
        <v>30</v>
      </c>
      <c r="Q291" s="4" t="s">
        <v>30</v>
      </c>
      <c r="R291" s="4">
        <v>1.7669999999999999E-3</v>
      </c>
      <c r="S291" s="4">
        <v>4.6289999999999998E-2</v>
      </c>
      <c r="T291" s="4">
        <v>1.07</v>
      </c>
    </row>
    <row r="292" spans="1:30" hidden="1" outlineLevel="1" collapsed="1" x14ac:dyDescent="0.2">
      <c r="A292" t="s">
        <v>34</v>
      </c>
      <c r="B292" s="4" t="s">
        <v>30</v>
      </c>
      <c r="C292" s="4" t="s">
        <v>541</v>
      </c>
      <c r="D292" s="4" t="s">
        <v>34</v>
      </c>
      <c r="E292" s="4">
        <v>5.7776800000000003E-2</v>
      </c>
      <c r="F292" s="4">
        <v>3.7876699999999999E-3</v>
      </c>
      <c r="G292" s="4">
        <v>1</v>
      </c>
      <c r="H292" s="4">
        <v>1</v>
      </c>
      <c r="I292" s="4">
        <v>1</v>
      </c>
      <c r="J292" s="4">
        <v>1</v>
      </c>
      <c r="K292" s="4" t="s">
        <v>515</v>
      </c>
      <c r="L292" s="4" t="s">
        <v>542</v>
      </c>
      <c r="M292" s="4" t="s">
        <v>34</v>
      </c>
      <c r="N292" s="4">
        <v>0</v>
      </c>
      <c r="O292" s="4">
        <v>831.45705999999996</v>
      </c>
      <c r="P292" s="4" t="s">
        <v>30</v>
      </c>
      <c r="Q292" s="4" t="s">
        <v>30</v>
      </c>
      <c r="R292" s="4">
        <v>1.7669999999999999E-3</v>
      </c>
      <c r="S292" s="4">
        <v>2.537E-2</v>
      </c>
      <c r="T292" s="4">
        <v>1.67</v>
      </c>
    </row>
    <row r="293" spans="1:30" collapsed="1" x14ac:dyDescent="0.2">
      <c r="A293" s="3" t="s">
        <v>30</v>
      </c>
      <c r="B293" s="3" t="s">
        <v>31</v>
      </c>
      <c r="C293" s="3" t="s">
        <v>543</v>
      </c>
      <c r="D293" s="3" t="s">
        <v>544</v>
      </c>
      <c r="E293" s="3">
        <v>0</v>
      </c>
      <c r="F293" s="3">
        <v>18.141999999999999</v>
      </c>
      <c r="G293" s="3">
        <v>11</v>
      </c>
      <c r="H293" s="3">
        <v>8</v>
      </c>
      <c r="I293" s="3">
        <v>9</v>
      </c>
      <c r="J293" s="3">
        <v>12</v>
      </c>
      <c r="K293" s="3">
        <v>2</v>
      </c>
      <c r="L293" s="3">
        <v>629</v>
      </c>
      <c r="M293" s="3">
        <v>64.5</v>
      </c>
      <c r="N293" s="3">
        <v>6.48</v>
      </c>
      <c r="O293" s="3">
        <v>16.239999999999998</v>
      </c>
      <c r="P293" s="3">
        <v>8</v>
      </c>
      <c r="Q293" s="3" t="s">
        <v>34</v>
      </c>
      <c r="R293" s="3" t="s">
        <v>34</v>
      </c>
      <c r="S293" s="3" t="s">
        <v>34</v>
      </c>
      <c r="T293" s="3" t="s">
        <v>34</v>
      </c>
      <c r="U293" s="3" t="s">
        <v>34</v>
      </c>
      <c r="V293" s="3" t="s">
        <v>543</v>
      </c>
      <c r="W293" s="3" t="s">
        <v>34</v>
      </c>
      <c r="X293" s="3" t="s">
        <v>34</v>
      </c>
      <c r="Y293" s="3" t="s">
        <v>34</v>
      </c>
      <c r="Z293" s="3" t="s">
        <v>34</v>
      </c>
      <c r="AA293" s="3">
        <v>0</v>
      </c>
      <c r="AB293" s="3" t="s">
        <v>30</v>
      </c>
      <c r="AC293" s="3">
        <v>1</v>
      </c>
      <c r="AD293" s="3" t="s">
        <v>34</v>
      </c>
    </row>
    <row r="294" spans="1:30" hidden="1" outlineLevel="1" collapsed="1" x14ac:dyDescent="0.2">
      <c r="A294" t="s">
        <v>34</v>
      </c>
      <c r="B294" s="2" t="s">
        <v>36</v>
      </c>
      <c r="C294" s="2" t="s">
        <v>37</v>
      </c>
      <c r="D294" s="2" t="s">
        <v>29</v>
      </c>
      <c r="E294" s="2" t="s">
        <v>38</v>
      </c>
      <c r="F294" s="2" t="s">
        <v>39</v>
      </c>
      <c r="G294" s="2" t="s">
        <v>28</v>
      </c>
      <c r="H294" s="2" t="s">
        <v>40</v>
      </c>
      <c r="I294" s="2" t="s">
        <v>8</v>
      </c>
      <c r="J294" s="2" t="s">
        <v>9</v>
      </c>
      <c r="K294" s="2" t="s">
        <v>41</v>
      </c>
      <c r="L294" s="2" t="s">
        <v>42</v>
      </c>
      <c r="M294" s="2" t="s">
        <v>43</v>
      </c>
      <c r="N294" s="2" t="s">
        <v>44</v>
      </c>
      <c r="O294" s="2" t="s">
        <v>45</v>
      </c>
      <c r="P294" s="2" t="s">
        <v>27</v>
      </c>
      <c r="Q294" s="2" t="s">
        <v>46</v>
      </c>
      <c r="R294" s="2" t="s">
        <v>47</v>
      </c>
      <c r="S294" s="2" t="s">
        <v>48</v>
      </c>
      <c r="T294" s="2" t="s">
        <v>49</v>
      </c>
    </row>
    <row r="295" spans="1:30" hidden="1" outlineLevel="1" collapsed="1" x14ac:dyDescent="0.2">
      <c r="A295" t="s">
        <v>34</v>
      </c>
      <c r="B295" s="4" t="s">
        <v>30</v>
      </c>
      <c r="C295" s="4" t="s">
        <v>545</v>
      </c>
      <c r="D295" s="4" t="s">
        <v>34</v>
      </c>
      <c r="E295" s="4">
        <v>7.2211300000000001E-3</v>
      </c>
      <c r="F295" s="4">
        <v>3.7876699999999999E-3</v>
      </c>
      <c r="G295" s="4">
        <v>4</v>
      </c>
      <c r="H295" s="4">
        <v>7</v>
      </c>
      <c r="I295" s="4">
        <v>1</v>
      </c>
      <c r="J295" s="4">
        <v>1</v>
      </c>
      <c r="K295" s="4" t="s">
        <v>546</v>
      </c>
      <c r="L295" s="4" t="s">
        <v>547</v>
      </c>
      <c r="M295" s="4" t="s">
        <v>34</v>
      </c>
      <c r="N295" s="4">
        <v>0</v>
      </c>
      <c r="O295" s="4">
        <v>1123.5629799999999</v>
      </c>
      <c r="P295" s="4" t="s">
        <v>30</v>
      </c>
      <c r="Q295" s="4" t="s">
        <v>30</v>
      </c>
      <c r="R295" s="4">
        <v>1.7669999999999999E-3</v>
      </c>
      <c r="S295" s="4">
        <v>2.4650000000000002E-3</v>
      </c>
      <c r="T295" s="4">
        <v>1.85</v>
      </c>
    </row>
    <row r="296" spans="1:30" hidden="1" outlineLevel="1" collapsed="1" x14ac:dyDescent="0.2">
      <c r="A296" t="s">
        <v>34</v>
      </c>
      <c r="B296" s="4" t="s">
        <v>30</v>
      </c>
      <c r="C296" s="4" t="s">
        <v>223</v>
      </c>
      <c r="D296" s="4" t="s">
        <v>34</v>
      </c>
      <c r="E296" s="4">
        <v>4.2578900000000003E-2</v>
      </c>
      <c r="F296" s="4">
        <v>3.7876699999999999E-3</v>
      </c>
      <c r="G296" s="4">
        <v>3</v>
      </c>
      <c r="H296" s="4">
        <v>4</v>
      </c>
      <c r="I296" s="4">
        <v>1</v>
      </c>
      <c r="J296" s="4">
        <v>1</v>
      </c>
      <c r="K296" s="4" t="s">
        <v>224</v>
      </c>
      <c r="L296" s="4" t="s">
        <v>225</v>
      </c>
      <c r="M296" s="4" t="s">
        <v>34</v>
      </c>
      <c r="N296" s="4">
        <v>0</v>
      </c>
      <c r="O296" s="4">
        <v>1139.5401400000001</v>
      </c>
      <c r="P296" s="4" t="s">
        <v>30</v>
      </c>
      <c r="Q296" s="4" t="s">
        <v>30</v>
      </c>
      <c r="R296" s="4">
        <v>1.7669999999999999E-3</v>
      </c>
      <c r="S296" s="4">
        <v>1.796E-2</v>
      </c>
      <c r="T296" s="4">
        <v>2.84</v>
      </c>
    </row>
    <row r="297" spans="1:30" hidden="1" outlineLevel="1" collapsed="1" x14ac:dyDescent="0.2">
      <c r="A297" t="s">
        <v>34</v>
      </c>
      <c r="B297" s="4" t="s">
        <v>30</v>
      </c>
      <c r="C297" s="4" t="s">
        <v>223</v>
      </c>
      <c r="D297" s="4" t="s">
        <v>61</v>
      </c>
      <c r="E297" s="4">
        <v>3.4978000000000002E-2</v>
      </c>
      <c r="F297" s="4">
        <v>3.7876699999999999E-3</v>
      </c>
      <c r="G297" s="4">
        <v>3</v>
      </c>
      <c r="H297" s="4">
        <v>4</v>
      </c>
      <c r="I297" s="4">
        <v>1</v>
      </c>
      <c r="J297" s="4">
        <v>1</v>
      </c>
      <c r="K297" s="4" t="s">
        <v>224</v>
      </c>
      <c r="L297" s="4" t="s">
        <v>225</v>
      </c>
      <c r="M297" s="4" t="s">
        <v>34</v>
      </c>
      <c r="N297" s="4">
        <v>0</v>
      </c>
      <c r="O297" s="4">
        <v>1155.53505</v>
      </c>
      <c r="P297" s="4" t="s">
        <v>30</v>
      </c>
      <c r="Q297" s="4" t="s">
        <v>30</v>
      </c>
      <c r="R297" s="4">
        <v>1.7669999999999999E-3</v>
      </c>
      <c r="S297" s="4">
        <v>1.4409999999999999E-2</v>
      </c>
      <c r="T297" s="4">
        <v>1.84</v>
      </c>
    </row>
    <row r="298" spans="1:30" hidden="1" outlineLevel="1" collapsed="1" x14ac:dyDescent="0.2">
      <c r="A298" t="s">
        <v>34</v>
      </c>
      <c r="B298" s="4" t="s">
        <v>30</v>
      </c>
      <c r="C298" s="4" t="s">
        <v>228</v>
      </c>
      <c r="D298" s="4" t="s">
        <v>34</v>
      </c>
      <c r="E298" s="4">
        <v>5.2784499999999998E-2</v>
      </c>
      <c r="F298" s="4">
        <v>3.7876699999999999E-3</v>
      </c>
      <c r="G298" s="4">
        <v>10</v>
      </c>
      <c r="H298" s="4">
        <v>22</v>
      </c>
      <c r="I298" s="4">
        <v>1</v>
      </c>
      <c r="J298" s="4">
        <v>4</v>
      </c>
      <c r="K298" s="4" t="s">
        <v>229</v>
      </c>
      <c r="L298" s="4" t="s">
        <v>230</v>
      </c>
      <c r="M298" s="4" t="s">
        <v>34</v>
      </c>
      <c r="N298" s="4">
        <v>0</v>
      </c>
      <c r="O298" s="4">
        <v>827.42978000000005</v>
      </c>
      <c r="P298" s="4" t="s">
        <v>30</v>
      </c>
      <c r="Q298" s="4" t="s">
        <v>30</v>
      </c>
      <c r="R298" s="4">
        <v>1.7669999999999999E-3</v>
      </c>
      <c r="S298" s="4">
        <v>2.2929999999999999E-2</v>
      </c>
      <c r="T298" s="4">
        <v>1.3</v>
      </c>
    </row>
    <row r="299" spans="1:30" hidden="1" outlineLevel="1" collapsed="1" x14ac:dyDescent="0.2">
      <c r="A299" t="s">
        <v>34</v>
      </c>
      <c r="B299" s="4" t="s">
        <v>30</v>
      </c>
      <c r="C299" s="4" t="s">
        <v>432</v>
      </c>
      <c r="D299" s="4" t="s">
        <v>34</v>
      </c>
      <c r="E299" s="4">
        <v>0.108998</v>
      </c>
      <c r="F299" s="4">
        <v>3.7876699999999999E-3</v>
      </c>
      <c r="G299" s="4">
        <v>7</v>
      </c>
      <c r="H299" s="4">
        <v>22</v>
      </c>
      <c r="I299" s="4">
        <v>1</v>
      </c>
      <c r="J299" s="4">
        <v>1</v>
      </c>
      <c r="K299" s="4" t="s">
        <v>433</v>
      </c>
      <c r="L299" s="4" t="s">
        <v>434</v>
      </c>
      <c r="M299" s="4" t="s">
        <v>34</v>
      </c>
      <c r="N299" s="4">
        <v>0</v>
      </c>
      <c r="O299" s="4">
        <v>906.46795999999995</v>
      </c>
      <c r="P299" s="4" t="s">
        <v>30</v>
      </c>
      <c r="Q299" s="4" t="s">
        <v>30</v>
      </c>
      <c r="R299" s="4">
        <v>1.7669999999999999E-3</v>
      </c>
      <c r="S299" s="4">
        <v>5.2359999999999997E-2</v>
      </c>
      <c r="T299" s="4">
        <v>1.41</v>
      </c>
    </row>
    <row r="300" spans="1:30" hidden="1" outlineLevel="1" collapsed="1" x14ac:dyDescent="0.2">
      <c r="A300" t="s">
        <v>34</v>
      </c>
      <c r="B300" s="4" t="s">
        <v>30</v>
      </c>
      <c r="C300" s="4" t="s">
        <v>548</v>
      </c>
      <c r="D300" s="4" t="s">
        <v>34</v>
      </c>
      <c r="E300" s="4">
        <v>1.02881E-2</v>
      </c>
      <c r="F300" s="4">
        <v>3.7876699999999999E-3</v>
      </c>
      <c r="G300" s="4">
        <v>1</v>
      </c>
      <c r="H300" s="4">
        <v>1</v>
      </c>
      <c r="I300" s="4">
        <v>1</v>
      </c>
      <c r="J300" s="4">
        <v>1</v>
      </c>
      <c r="K300" s="4" t="s">
        <v>543</v>
      </c>
      <c r="L300" s="4" t="s">
        <v>549</v>
      </c>
      <c r="M300" s="4" t="s">
        <v>34</v>
      </c>
      <c r="N300" s="4">
        <v>0</v>
      </c>
      <c r="O300" s="4">
        <v>1141.52324</v>
      </c>
      <c r="P300" s="4" t="s">
        <v>30</v>
      </c>
      <c r="Q300" s="4" t="s">
        <v>30</v>
      </c>
      <c r="R300" s="4">
        <v>1.7669999999999999E-3</v>
      </c>
      <c r="S300" s="4">
        <v>3.6709999999999998E-3</v>
      </c>
      <c r="T300" s="4">
        <v>2.57</v>
      </c>
    </row>
    <row r="301" spans="1:30" hidden="1" outlineLevel="1" collapsed="1" x14ac:dyDescent="0.2">
      <c r="A301" t="s">
        <v>34</v>
      </c>
      <c r="B301" s="4" t="s">
        <v>30</v>
      </c>
      <c r="C301" s="4" t="s">
        <v>550</v>
      </c>
      <c r="D301" s="4" t="s">
        <v>34</v>
      </c>
      <c r="E301" s="4">
        <v>5.2180799999999999E-3</v>
      </c>
      <c r="F301" s="4">
        <v>3.7876699999999999E-3</v>
      </c>
      <c r="G301" s="4">
        <v>2</v>
      </c>
      <c r="H301" s="4">
        <v>2</v>
      </c>
      <c r="I301" s="4">
        <v>1</v>
      </c>
      <c r="J301" s="4">
        <v>1</v>
      </c>
      <c r="K301" s="4" t="s">
        <v>551</v>
      </c>
      <c r="L301" s="4" t="s">
        <v>552</v>
      </c>
      <c r="M301" s="4" t="s">
        <v>34</v>
      </c>
      <c r="N301" s="4">
        <v>0</v>
      </c>
      <c r="O301" s="4">
        <v>1045.5636500000001</v>
      </c>
      <c r="P301" s="4" t="s">
        <v>30</v>
      </c>
      <c r="Q301" s="4" t="s">
        <v>30</v>
      </c>
      <c r="R301" s="4">
        <v>1.7669999999999999E-3</v>
      </c>
      <c r="S301" s="4">
        <v>1.7149999999999999E-3</v>
      </c>
      <c r="T301" s="4">
        <v>2.65</v>
      </c>
    </row>
    <row r="302" spans="1:30" hidden="1" outlineLevel="1" collapsed="1" x14ac:dyDescent="0.2">
      <c r="A302" t="s">
        <v>34</v>
      </c>
      <c r="B302" s="4" t="s">
        <v>30</v>
      </c>
      <c r="C302" s="4" t="s">
        <v>553</v>
      </c>
      <c r="D302" s="4" t="s">
        <v>34</v>
      </c>
      <c r="E302" s="4">
        <v>5.0088899999999999E-2</v>
      </c>
      <c r="F302" s="4">
        <v>3.7876699999999999E-3</v>
      </c>
      <c r="G302" s="4">
        <v>3</v>
      </c>
      <c r="H302" s="4">
        <v>6</v>
      </c>
      <c r="I302" s="4">
        <v>1</v>
      </c>
      <c r="J302" s="4">
        <v>1</v>
      </c>
      <c r="K302" s="4" t="s">
        <v>554</v>
      </c>
      <c r="L302" s="4" t="s">
        <v>555</v>
      </c>
      <c r="M302" s="4" t="s">
        <v>34</v>
      </c>
      <c r="N302" s="4">
        <v>1</v>
      </c>
      <c r="O302" s="4">
        <v>1338.6899699999999</v>
      </c>
      <c r="P302" s="4" t="s">
        <v>30</v>
      </c>
      <c r="Q302" s="4" t="s">
        <v>30</v>
      </c>
      <c r="R302" s="4">
        <v>1.7669999999999999E-3</v>
      </c>
      <c r="S302" s="4">
        <v>2.1659999999999999E-2</v>
      </c>
      <c r="T302" s="4">
        <v>2.4</v>
      </c>
    </row>
    <row r="303" spans="1:30" hidden="1" outlineLevel="1" collapsed="1" x14ac:dyDescent="0.2">
      <c r="A303" t="s">
        <v>34</v>
      </c>
      <c r="B303" s="4" t="s">
        <v>30</v>
      </c>
      <c r="C303" s="4" t="s">
        <v>556</v>
      </c>
      <c r="D303" s="4" t="s">
        <v>34</v>
      </c>
      <c r="E303" s="4">
        <v>1.81412E-2</v>
      </c>
      <c r="F303" s="4">
        <v>3.7876699999999999E-3</v>
      </c>
      <c r="G303" s="4">
        <v>1</v>
      </c>
      <c r="H303" s="4">
        <v>1</v>
      </c>
      <c r="I303" s="4">
        <v>1</v>
      </c>
      <c r="J303" s="4">
        <v>1</v>
      </c>
      <c r="K303" s="4" t="s">
        <v>543</v>
      </c>
      <c r="L303" s="4" t="s">
        <v>557</v>
      </c>
      <c r="M303" s="4" t="s">
        <v>34</v>
      </c>
      <c r="N303" s="4">
        <v>0</v>
      </c>
      <c r="O303" s="4">
        <v>1097.49703</v>
      </c>
      <c r="P303" s="4" t="s">
        <v>30</v>
      </c>
      <c r="Q303" s="4" t="s">
        <v>30</v>
      </c>
      <c r="R303" s="4">
        <v>1.7669999999999999E-3</v>
      </c>
      <c r="S303" s="4">
        <v>6.8970000000000004E-3</v>
      </c>
      <c r="T303" s="4">
        <v>1.1599999999999999</v>
      </c>
    </row>
    <row r="304" spans="1:30" collapsed="1" x14ac:dyDescent="0.2">
      <c r="A304" s="3" t="s">
        <v>30</v>
      </c>
      <c r="B304" s="3" t="s">
        <v>31</v>
      </c>
      <c r="C304" s="3" t="s">
        <v>558</v>
      </c>
      <c r="D304" s="3" t="s">
        <v>559</v>
      </c>
      <c r="E304" s="3">
        <v>0</v>
      </c>
      <c r="F304" s="3">
        <v>17.422000000000001</v>
      </c>
      <c r="G304" s="3">
        <v>19</v>
      </c>
      <c r="H304" s="3">
        <v>10</v>
      </c>
      <c r="I304" s="3">
        <v>10</v>
      </c>
      <c r="J304" s="3">
        <v>28</v>
      </c>
      <c r="K304" s="3">
        <v>5</v>
      </c>
      <c r="L304" s="3">
        <v>458</v>
      </c>
      <c r="M304" s="3">
        <v>49.6</v>
      </c>
      <c r="N304" s="3">
        <v>4.96</v>
      </c>
      <c r="O304" s="3">
        <v>23.91</v>
      </c>
      <c r="P304" s="3">
        <v>10</v>
      </c>
      <c r="Q304" s="3" t="s">
        <v>560</v>
      </c>
      <c r="R304" s="3" t="s">
        <v>337</v>
      </c>
      <c r="S304" s="3" t="s">
        <v>561</v>
      </c>
      <c r="T304" s="3" t="s">
        <v>339</v>
      </c>
      <c r="U304" s="3" t="s">
        <v>562</v>
      </c>
      <c r="V304" s="3" t="s">
        <v>563</v>
      </c>
      <c r="W304" s="3" t="s">
        <v>564</v>
      </c>
      <c r="X304" s="3" t="s">
        <v>565</v>
      </c>
      <c r="Y304" s="3" t="s">
        <v>344</v>
      </c>
      <c r="Z304" s="3" t="s">
        <v>566</v>
      </c>
      <c r="AA304" s="3">
        <v>3</v>
      </c>
      <c r="AB304" s="3" t="s">
        <v>30</v>
      </c>
      <c r="AC304" s="3">
        <v>1</v>
      </c>
      <c r="AD304" s="3" t="s">
        <v>34</v>
      </c>
    </row>
    <row r="305" spans="1:30" hidden="1" outlineLevel="1" collapsed="1" x14ac:dyDescent="0.2">
      <c r="A305" t="s">
        <v>34</v>
      </c>
      <c r="B305" s="2" t="s">
        <v>36</v>
      </c>
      <c r="C305" s="2" t="s">
        <v>37</v>
      </c>
      <c r="D305" s="2" t="s">
        <v>29</v>
      </c>
      <c r="E305" s="2" t="s">
        <v>38</v>
      </c>
      <c r="F305" s="2" t="s">
        <v>39</v>
      </c>
      <c r="G305" s="2" t="s">
        <v>28</v>
      </c>
      <c r="H305" s="2" t="s">
        <v>40</v>
      </c>
      <c r="I305" s="2" t="s">
        <v>8</v>
      </c>
      <c r="J305" s="2" t="s">
        <v>9</v>
      </c>
      <c r="K305" s="2" t="s">
        <v>41</v>
      </c>
      <c r="L305" s="2" t="s">
        <v>42</v>
      </c>
      <c r="M305" s="2" t="s">
        <v>43</v>
      </c>
      <c r="N305" s="2" t="s">
        <v>44</v>
      </c>
      <c r="O305" s="2" t="s">
        <v>45</v>
      </c>
      <c r="P305" s="2" t="s">
        <v>27</v>
      </c>
      <c r="Q305" s="2" t="s">
        <v>46</v>
      </c>
      <c r="R305" s="2" t="s">
        <v>47</v>
      </c>
      <c r="S305" s="2" t="s">
        <v>48</v>
      </c>
      <c r="T305" s="2" t="s">
        <v>49</v>
      </c>
    </row>
    <row r="306" spans="1:30" hidden="1" outlineLevel="1" collapsed="1" x14ac:dyDescent="0.2">
      <c r="A306" t="s">
        <v>34</v>
      </c>
      <c r="B306" s="4" t="s">
        <v>30</v>
      </c>
      <c r="C306" s="4" t="s">
        <v>385</v>
      </c>
      <c r="D306" s="4" t="s">
        <v>34</v>
      </c>
      <c r="E306" s="4">
        <v>1.18415E-2</v>
      </c>
      <c r="F306" s="4">
        <v>3.7876699999999999E-3</v>
      </c>
      <c r="G306" s="4">
        <v>4</v>
      </c>
      <c r="H306" s="4">
        <v>7</v>
      </c>
      <c r="I306" s="4">
        <v>1</v>
      </c>
      <c r="J306" s="4">
        <v>4</v>
      </c>
      <c r="K306" s="4" t="s">
        <v>386</v>
      </c>
      <c r="L306" s="4" t="s">
        <v>387</v>
      </c>
      <c r="M306" s="4" t="s">
        <v>34</v>
      </c>
      <c r="N306" s="4">
        <v>0</v>
      </c>
      <c r="O306" s="4">
        <v>1301.65834</v>
      </c>
      <c r="P306" s="4" t="s">
        <v>30</v>
      </c>
      <c r="Q306" s="4" t="s">
        <v>30</v>
      </c>
      <c r="R306" s="4">
        <v>1.7669999999999999E-3</v>
      </c>
      <c r="S306" s="4">
        <v>4.2839999999999996E-3</v>
      </c>
      <c r="T306" s="4">
        <v>2.48</v>
      </c>
    </row>
    <row r="307" spans="1:30" hidden="1" outlineLevel="1" collapsed="1" x14ac:dyDescent="0.2">
      <c r="A307" t="s">
        <v>34</v>
      </c>
      <c r="B307" s="4" t="s">
        <v>30</v>
      </c>
      <c r="C307" s="4" t="s">
        <v>567</v>
      </c>
      <c r="D307" s="4" t="s">
        <v>61</v>
      </c>
      <c r="E307" s="4">
        <v>7.0162299999999997E-2</v>
      </c>
      <c r="F307" s="4">
        <v>3.7876699999999999E-3</v>
      </c>
      <c r="G307" s="4">
        <v>1</v>
      </c>
      <c r="H307" s="4">
        <v>2</v>
      </c>
      <c r="I307" s="4">
        <v>1</v>
      </c>
      <c r="J307" s="4">
        <v>1</v>
      </c>
      <c r="K307" s="4" t="s">
        <v>558</v>
      </c>
      <c r="L307" s="4" t="s">
        <v>568</v>
      </c>
      <c r="M307" s="4" t="s">
        <v>34</v>
      </c>
      <c r="N307" s="4">
        <v>0</v>
      </c>
      <c r="O307" s="4">
        <v>1142.4782600000001</v>
      </c>
      <c r="P307" s="4" t="s">
        <v>30</v>
      </c>
      <c r="Q307" s="4" t="s">
        <v>30</v>
      </c>
      <c r="R307" s="4">
        <v>1.7669999999999999E-3</v>
      </c>
      <c r="S307" s="4">
        <v>3.1780000000000003E-2</v>
      </c>
      <c r="T307" s="4">
        <v>1.8</v>
      </c>
    </row>
    <row r="308" spans="1:30" hidden="1" outlineLevel="1" collapsed="1" x14ac:dyDescent="0.2">
      <c r="A308" t="s">
        <v>34</v>
      </c>
      <c r="B308" s="4" t="s">
        <v>30</v>
      </c>
      <c r="C308" s="4" t="s">
        <v>287</v>
      </c>
      <c r="D308" s="4" t="s">
        <v>34</v>
      </c>
      <c r="E308" s="4">
        <v>3.83188E-2</v>
      </c>
      <c r="F308" s="4">
        <v>3.7876699999999999E-3</v>
      </c>
      <c r="G308" s="4">
        <v>7</v>
      </c>
      <c r="H308" s="4">
        <v>27</v>
      </c>
      <c r="I308" s="4">
        <v>1</v>
      </c>
      <c r="J308" s="4">
        <v>13</v>
      </c>
      <c r="K308" s="4" t="s">
        <v>288</v>
      </c>
      <c r="L308" s="4" t="s">
        <v>289</v>
      </c>
      <c r="M308" s="4" t="s">
        <v>34</v>
      </c>
      <c r="N308" s="4">
        <v>0</v>
      </c>
      <c r="O308" s="4">
        <v>807.39954</v>
      </c>
      <c r="P308" s="4" t="s">
        <v>30</v>
      </c>
      <c r="Q308" s="4" t="s">
        <v>30</v>
      </c>
      <c r="R308" s="4">
        <v>1.7669999999999999E-3</v>
      </c>
      <c r="S308" s="4">
        <v>1.5970000000000002E-2</v>
      </c>
      <c r="T308" s="4">
        <v>1.35</v>
      </c>
    </row>
    <row r="309" spans="1:30" hidden="1" outlineLevel="1" collapsed="1" x14ac:dyDescent="0.2">
      <c r="A309" t="s">
        <v>34</v>
      </c>
      <c r="B309" s="4" t="s">
        <v>30</v>
      </c>
      <c r="C309" s="4" t="s">
        <v>407</v>
      </c>
      <c r="D309" s="4" t="s">
        <v>34</v>
      </c>
      <c r="E309" s="4">
        <v>2.07748E-2</v>
      </c>
      <c r="F309" s="4">
        <v>3.7876699999999999E-3</v>
      </c>
      <c r="G309" s="4">
        <v>5</v>
      </c>
      <c r="H309" s="4">
        <v>10</v>
      </c>
      <c r="I309" s="4">
        <v>1</v>
      </c>
      <c r="J309" s="4">
        <v>1</v>
      </c>
      <c r="K309" s="4" t="s">
        <v>408</v>
      </c>
      <c r="L309" s="4" t="s">
        <v>409</v>
      </c>
      <c r="M309" s="4" t="s">
        <v>34</v>
      </c>
      <c r="N309" s="4">
        <v>0</v>
      </c>
      <c r="O309" s="4">
        <v>1122.5789600000001</v>
      </c>
      <c r="P309" s="4" t="s">
        <v>30</v>
      </c>
      <c r="Q309" s="4" t="s">
        <v>30</v>
      </c>
      <c r="R309" s="4">
        <v>1.7669999999999999E-3</v>
      </c>
      <c r="S309" s="4">
        <v>8.0569999999999999E-3</v>
      </c>
      <c r="T309" s="4">
        <v>2.4</v>
      </c>
    </row>
    <row r="310" spans="1:30" hidden="1" outlineLevel="1" collapsed="1" x14ac:dyDescent="0.2">
      <c r="A310" t="s">
        <v>34</v>
      </c>
      <c r="B310" s="4" t="s">
        <v>30</v>
      </c>
      <c r="C310" s="4" t="s">
        <v>569</v>
      </c>
      <c r="D310" s="4" t="s">
        <v>34</v>
      </c>
      <c r="E310" s="4">
        <v>0.11523</v>
      </c>
      <c r="F310" s="4">
        <v>3.7876699999999999E-3</v>
      </c>
      <c r="G310" s="4">
        <v>1</v>
      </c>
      <c r="H310" s="4">
        <v>2</v>
      </c>
      <c r="I310" s="4">
        <v>1</v>
      </c>
      <c r="J310" s="4">
        <v>1</v>
      </c>
      <c r="K310" s="4" t="s">
        <v>558</v>
      </c>
      <c r="L310" s="4" t="s">
        <v>570</v>
      </c>
      <c r="M310" s="4" t="s">
        <v>34</v>
      </c>
      <c r="N310" s="4">
        <v>0</v>
      </c>
      <c r="O310" s="4">
        <v>1144.6320599999999</v>
      </c>
      <c r="P310" s="4" t="s">
        <v>30</v>
      </c>
      <c r="Q310" s="4" t="s">
        <v>30</v>
      </c>
      <c r="R310" s="4">
        <v>1.7669999999999999E-3</v>
      </c>
      <c r="S310" s="4">
        <v>5.5930000000000001E-2</v>
      </c>
      <c r="T310" s="4">
        <v>0.86</v>
      </c>
    </row>
    <row r="311" spans="1:30" hidden="1" outlineLevel="1" collapsed="1" x14ac:dyDescent="0.2">
      <c r="A311" t="s">
        <v>34</v>
      </c>
      <c r="B311" s="4" t="s">
        <v>30</v>
      </c>
      <c r="C311" s="4" t="s">
        <v>571</v>
      </c>
      <c r="D311" s="4" t="s">
        <v>177</v>
      </c>
      <c r="E311" s="4">
        <v>2.4017899999999998E-2</v>
      </c>
      <c r="F311" s="4">
        <v>3.7876699999999999E-3</v>
      </c>
      <c r="G311" s="4">
        <v>1</v>
      </c>
      <c r="H311" s="4">
        <v>1</v>
      </c>
      <c r="I311" s="4">
        <v>1</v>
      </c>
      <c r="J311" s="4">
        <v>2</v>
      </c>
      <c r="K311" s="4" t="s">
        <v>558</v>
      </c>
      <c r="L311" s="4" t="s">
        <v>572</v>
      </c>
      <c r="M311" s="4" t="s">
        <v>34</v>
      </c>
      <c r="N311" s="4">
        <v>0</v>
      </c>
      <c r="O311" s="4">
        <v>1408.68893</v>
      </c>
      <c r="P311" s="4" t="s">
        <v>30</v>
      </c>
      <c r="Q311" s="4" t="s">
        <v>30</v>
      </c>
      <c r="R311" s="4">
        <v>1.7669999999999999E-3</v>
      </c>
      <c r="S311" s="4">
        <v>9.4669999999999997E-3</v>
      </c>
      <c r="T311" s="4">
        <v>1.81</v>
      </c>
    </row>
    <row r="312" spans="1:30" hidden="1" outlineLevel="1" collapsed="1" x14ac:dyDescent="0.2">
      <c r="A312" t="s">
        <v>34</v>
      </c>
      <c r="B312" s="4" t="s">
        <v>30</v>
      </c>
      <c r="C312" s="4" t="s">
        <v>306</v>
      </c>
      <c r="D312" s="4" t="s">
        <v>34</v>
      </c>
      <c r="E312" s="4">
        <v>1.67881E-2</v>
      </c>
      <c r="F312" s="4">
        <v>3.7876699999999999E-3</v>
      </c>
      <c r="G312" s="4">
        <v>2</v>
      </c>
      <c r="H312" s="4">
        <v>6</v>
      </c>
      <c r="I312" s="4">
        <v>1</v>
      </c>
      <c r="J312" s="4">
        <v>2</v>
      </c>
      <c r="K312" s="4" t="s">
        <v>307</v>
      </c>
      <c r="L312" s="4" t="s">
        <v>308</v>
      </c>
      <c r="M312" s="4" t="s">
        <v>34</v>
      </c>
      <c r="N312" s="4">
        <v>0</v>
      </c>
      <c r="O312" s="4">
        <v>1201.6171400000001</v>
      </c>
      <c r="P312" s="4" t="s">
        <v>30</v>
      </c>
      <c r="Q312" s="4" t="s">
        <v>30</v>
      </c>
      <c r="R312" s="4">
        <v>1.7669999999999999E-3</v>
      </c>
      <c r="S312" s="4">
        <v>6.3200000000000001E-3</v>
      </c>
      <c r="T312" s="4">
        <v>2.4</v>
      </c>
    </row>
    <row r="313" spans="1:30" hidden="1" outlineLevel="1" collapsed="1" x14ac:dyDescent="0.2">
      <c r="A313" t="s">
        <v>34</v>
      </c>
      <c r="B313" s="4" t="s">
        <v>30</v>
      </c>
      <c r="C313" s="4" t="s">
        <v>309</v>
      </c>
      <c r="D313" s="4" t="s">
        <v>34</v>
      </c>
      <c r="E313" s="4">
        <v>0.135966</v>
      </c>
      <c r="F313" s="4">
        <v>3.7876699999999999E-3</v>
      </c>
      <c r="G313" s="4">
        <v>2</v>
      </c>
      <c r="H313" s="4">
        <v>6</v>
      </c>
      <c r="I313" s="4">
        <v>1</v>
      </c>
      <c r="J313" s="4">
        <v>2</v>
      </c>
      <c r="K313" s="4" t="s">
        <v>307</v>
      </c>
      <c r="L313" s="4" t="s">
        <v>310</v>
      </c>
      <c r="M313" s="4" t="s">
        <v>34</v>
      </c>
      <c r="N313" s="4">
        <v>1</v>
      </c>
      <c r="O313" s="4">
        <v>1357.7182499999999</v>
      </c>
      <c r="P313" s="4" t="s">
        <v>30</v>
      </c>
      <c r="Q313" s="4" t="s">
        <v>30</v>
      </c>
      <c r="R313" s="4">
        <v>1.7669999999999999E-3</v>
      </c>
      <c r="S313" s="4">
        <v>6.7790000000000003E-2</v>
      </c>
      <c r="T313" s="4">
        <v>1.74</v>
      </c>
    </row>
    <row r="314" spans="1:30" hidden="1" outlineLevel="1" collapsed="1" x14ac:dyDescent="0.2">
      <c r="A314" t="s">
        <v>34</v>
      </c>
      <c r="B314" s="4" t="s">
        <v>30</v>
      </c>
      <c r="C314" s="4" t="s">
        <v>573</v>
      </c>
      <c r="D314" s="4" t="s">
        <v>34</v>
      </c>
      <c r="E314" s="4">
        <v>0.106002</v>
      </c>
      <c r="F314" s="4">
        <v>3.7876699999999999E-3</v>
      </c>
      <c r="G314" s="4">
        <v>1</v>
      </c>
      <c r="H314" s="4">
        <v>2</v>
      </c>
      <c r="I314" s="4">
        <v>1</v>
      </c>
      <c r="J314" s="4">
        <v>1</v>
      </c>
      <c r="K314" s="4" t="s">
        <v>558</v>
      </c>
      <c r="L314" s="4" t="s">
        <v>574</v>
      </c>
      <c r="M314" s="4" t="s">
        <v>34</v>
      </c>
      <c r="N314" s="4">
        <v>0</v>
      </c>
      <c r="O314" s="4">
        <v>861.46762000000001</v>
      </c>
      <c r="P314" s="4" t="s">
        <v>30</v>
      </c>
      <c r="Q314" s="4" t="s">
        <v>30</v>
      </c>
      <c r="R314" s="4">
        <v>1.7669999999999999E-3</v>
      </c>
      <c r="S314" s="4">
        <v>5.083E-2</v>
      </c>
      <c r="T314" s="4">
        <v>1.95</v>
      </c>
    </row>
    <row r="315" spans="1:30" hidden="1" outlineLevel="1" collapsed="1" x14ac:dyDescent="0.2">
      <c r="A315" t="s">
        <v>34</v>
      </c>
      <c r="B315" s="4" t="s">
        <v>30</v>
      </c>
      <c r="C315" s="4" t="s">
        <v>575</v>
      </c>
      <c r="D315" s="4" t="s">
        <v>34</v>
      </c>
      <c r="E315" s="4">
        <v>4.4029199999999998E-2</v>
      </c>
      <c r="F315" s="4">
        <v>3.7876699999999999E-3</v>
      </c>
      <c r="G315" s="4">
        <v>1</v>
      </c>
      <c r="H315" s="4">
        <v>2</v>
      </c>
      <c r="I315" s="4">
        <v>1</v>
      </c>
      <c r="J315" s="4">
        <v>1</v>
      </c>
      <c r="K315" s="4" t="s">
        <v>558</v>
      </c>
      <c r="L315" s="4" t="s">
        <v>576</v>
      </c>
      <c r="M315" s="4" t="s">
        <v>34</v>
      </c>
      <c r="N315" s="4">
        <v>0</v>
      </c>
      <c r="O315" s="4">
        <v>1017.5826499999999</v>
      </c>
      <c r="P315" s="4" t="s">
        <v>30</v>
      </c>
      <c r="Q315" s="4" t="s">
        <v>30</v>
      </c>
      <c r="R315" s="4">
        <v>1.7669999999999999E-3</v>
      </c>
      <c r="S315" s="4">
        <v>1.873E-2</v>
      </c>
      <c r="T315" s="4">
        <v>2.27</v>
      </c>
    </row>
    <row r="316" spans="1:30" collapsed="1" x14ac:dyDescent="0.2">
      <c r="A316" s="3" t="s">
        <v>30</v>
      </c>
      <c r="B316" s="3" t="s">
        <v>31</v>
      </c>
      <c r="C316" s="3" t="s">
        <v>577</v>
      </c>
      <c r="D316" s="3" t="s">
        <v>578</v>
      </c>
      <c r="E316" s="3">
        <v>0</v>
      </c>
      <c r="F316" s="3">
        <v>16.452000000000002</v>
      </c>
      <c r="G316" s="3">
        <v>12</v>
      </c>
      <c r="H316" s="3">
        <v>8</v>
      </c>
      <c r="I316" s="3">
        <v>8</v>
      </c>
      <c r="J316" s="3">
        <v>14</v>
      </c>
      <c r="K316" s="3">
        <v>3</v>
      </c>
      <c r="L316" s="3">
        <v>523</v>
      </c>
      <c r="M316" s="3">
        <v>57.3</v>
      </c>
      <c r="N316" s="3">
        <v>6.61</v>
      </c>
      <c r="O316" s="3">
        <v>17.29</v>
      </c>
      <c r="P316" s="3">
        <v>8</v>
      </c>
      <c r="Q316" s="3" t="s">
        <v>336</v>
      </c>
      <c r="R316" s="3" t="s">
        <v>337</v>
      </c>
      <c r="S316" s="3" t="s">
        <v>579</v>
      </c>
      <c r="T316" s="3" t="s">
        <v>580</v>
      </c>
      <c r="U316" s="3" t="s">
        <v>581</v>
      </c>
      <c r="V316" s="3" t="s">
        <v>582</v>
      </c>
      <c r="W316" s="3" t="s">
        <v>583</v>
      </c>
      <c r="X316" s="3" t="s">
        <v>584</v>
      </c>
      <c r="Y316" s="3" t="s">
        <v>344</v>
      </c>
      <c r="Z316" s="3" t="s">
        <v>566</v>
      </c>
      <c r="AA316" s="3">
        <v>3</v>
      </c>
      <c r="AB316" s="3" t="s">
        <v>30</v>
      </c>
      <c r="AC316" s="3">
        <v>1</v>
      </c>
      <c r="AD316" s="3" t="s">
        <v>34</v>
      </c>
    </row>
    <row r="317" spans="1:30" hidden="1" outlineLevel="1" collapsed="1" x14ac:dyDescent="0.2">
      <c r="A317" t="s">
        <v>34</v>
      </c>
      <c r="B317" s="2" t="s">
        <v>36</v>
      </c>
      <c r="C317" s="2" t="s">
        <v>37</v>
      </c>
      <c r="D317" s="2" t="s">
        <v>29</v>
      </c>
      <c r="E317" s="2" t="s">
        <v>38</v>
      </c>
      <c r="F317" s="2" t="s">
        <v>39</v>
      </c>
      <c r="G317" s="2" t="s">
        <v>28</v>
      </c>
      <c r="H317" s="2" t="s">
        <v>40</v>
      </c>
      <c r="I317" s="2" t="s">
        <v>8</v>
      </c>
      <c r="J317" s="2" t="s">
        <v>9</v>
      </c>
      <c r="K317" s="2" t="s">
        <v>41</v>
      </c>
      <c r="L317" s="2" t="s">
        <v>42</v>
      </c>
      <c r="M317" s="2" t="s">
        <v>43</v>
      </c>
      <c r="N317" s="2" t="s">
        <v>44</v>
      </c>
      <c r="O317" s="2" t="s">
        <v>45</v>
      </c>
      <c r="P317" s="2" t="s">
        <v>27</v>
      </c>
      <c r="Q317" s="2" t="s">
        <v>46</v>
      </c>
      <c r="R317" s="2" t="s">
        <v>47</v>
      </c>
      <c r="S317" s="2" t="s">
        <v>48</v>
      </c>
      <c r="T317" s="2" t="s">
        <v>49</v>
      </c>
    </row>
    <row r="318" spans="1:30" hidden="1" outlineLevel="1" collapsed="1" x14ac:dyDescent="0.2">
      <c r="A318" t="s">
        <v>34</v>
      </c>
      <c r="B318" s="4" t="s">
        <v>30</v>
      </c>
      <c r="C318" s="4" t="s">
        <v>545</v>
      </c>
      <c r="D318" s="4" t="s">
        <v>34</v>
      </c>
      <c r="E318" s="4">
        <v>7.2211300000000001E-3</v>
      </c>
      <c r="F318" s="4">
        <v>3.7876699999999999E-3</v>
      </c>
      <c r="G318" s="4">
        <v>4</v>
      </c>
      <c r="H318" s="4">
        <v>7</v>
      </c>
      <c r="I318" s="4">
        <v>1</v>
      </c>
      <c r="J318" s="4">
        <v>1</v>
      </c>
      <c r="K318" s="4" t="s">
        <v>546</v>
      </c>
      <c r="L318" s="4" t="s">
        <v>547</v>
      </c>
      <c r="M318" s="4" t="s">
        <v>34</v>
      </c>
      <c r="N318" s="4">
        <v>0</v>
      </c>
      <c r="O318" s="4">
        <v>1123.5629799999999</v>
      </c>
      <c r="P318" s="4" t="s">
        <v>30</v>
      </c>
      <c r="Q318" s="4" t="s">
        <v>30</v>
      </c>
      <c r="R318" s="4">
        <v>1.7669999999999999E-3</v>
      </c>
      <c r="S318" s="4">
        <v>2.4650000000000002E-3</v>
      </c>
      <c r="T318" s="4">
        <v>1.85</v>
      </c>
    </row>
    <row r="319" spans="1:30" hidden="1" outlineLevel="1" collapsed="1" x14ac:dyDescent="0.2">
      <c r="A319" t="s">
        <v>34</v>
      </c>
      <c r="B319" s="4" t="s">
        <v>30</v>
      </c>
      <c r="C319" s="4" t="s">
        <v>585</v>
      </c>
      <c r="D319" s="4" t="s">
        <v>34</v>
      </c>
      <c r="E319" s="4">
        <v>0.14295099999999999</v>
      </c>
      <c r="F319" s="4">
        <v>7.4059499999999997E-3</v>
      </c>
      <c r="G319" s="4">
        <v>1</v>
      </c>
      <c r="H319" s="4">
        <v>1</v>
      </c>
      <c r="I319" s="4">
        <v>1</v>
      </c>
      <c r="J319" s="4">
        <v>1</v>
      </c>
      <c r="K319" s="4" t="s">
        <v>577</v>
      </c>
      <c r="L319" s="4" t="s">
        <v>586</v>
      </c>
      <c r="M319" s="4" t="s">
        <v>34</v>
      </c>
      <c r="N319" s="4">
        <v>1</v>
      </c>
      <c r="O319" s="4">
        <v>995.50440000000003</v>
      </c>
      <c r="P319" s="4" t="s">
        <v>30</v>
      </c>
      <c r="Q319" s="4" t="s">
        <v>30</v>
      </c>
      <c r="R319" s="4">
        <v>3.356E-3</v>
      </c>
      <c r="S319" s="4">
        <v>7.17E-2</v>
      </c>
      <c r="T319" s="4">
        <v>1.03</v>
      </c>
    </row>
    <row r="320" spans="1:30" hidden="1" outlineLevel="1" collapsed="1" x14ac:dyDescent="0.2">
      <c r="A320" t="s">
        <v>34</v>
      </c>
      <c r="B320" s="4" t="s">
        <v>30</v>
      </c>
      <c r="C320" s="4" t="s">
        <v>228</v>
      </c>
      <c r="D320" s="4" t="s">
        <v>34</v>
      </c>
      <c r="E320" s="4">
        <v>5.2784499999999998E-2</v>
      </c>
      <c r="F320" s="4">
        <v>3.7876699999999999E-3</v>
      </c>
      <c r="G320" s="4">
        <v>10</v>
      </c>
      <c r="H320" s="4">
        <v>22</v>
      </c>
      <c r="I320" s="4">
        <v>1</v>
      </c>
      <c r="J320" s="4">
        <v>4</v>
      </c>
      <c r="K320" s="4" t="s">
        <v>229</v>
      </c>
      <c r="L320" s="4" t="s">
        <v>230</v>
      </c>
      <c r="M320" s="4" t="s">
        <v>34</v>
      </c>
      <c r="N320" s="4">
        <v>0</v>
      </c>
      <c r="O320" s="4">
        <v>827.42978000000005</v>
      </c>
      <c r="P320" s="4" t="s">
        <v>30</v>
      </c>
      <c r="Q320" s="4" t="s">
        <v>30</v>
      </c>
      <c r="R320" s="4">
        <v>1.7669999999999999E-3</v>
      </c>
      <c r="S320" s="4">
        <v>2.2929999999999999E-2</v>
      </c>
      <c r="T320" s="4">
        <v>1.3</v>
      </c>
    </row>
    <row r="321" spans="1:30" hidden="1" outlineLevel="1" collapsed="1" x14ac:dyDescent="0.2">
      <c r="A321" t="s">
        <v>34</v>
      </c>
      <c r="B321" s="4" t="s">
        <v>30</v>
      </c>
      <c r="C321" s="4" t="s">
        <v>587</v>
      </c>
      <c r="D321" s="4" t="s">
        <v>34</v>
      </c>
      <c r="E321" s="4">
        <v>3.0461899999999998E-3</v>
      </c>
      <c r="F321" s="4">
        <v>3.7876699999999999E-3</v>
      </c>
      <c r="G321" s="4">
        <v>2</v>
      </c>
      <c r="H321" s="4">
        <v>5</v>
      </c>
      <c r="I321" s="4">
        <v>1</v>
      </c>
      <c r="J321" s="4">
        <v>3</v>
      </c>
      <c r="K321" s="4" t="s">
        <v>588</v>
      </c>
      <c r="L321" s="4" t="s">
        <v>589</v>
      </c>
      <c r="M321" s="4" t="s">
        <v>34</v>
      </c>
      <c r="N321" s="4">
        <v>0</v>
      </c>
      <c r="O321" s="4">
        <v>1476.76928</v>
      </c>
      <c r="P321" s="4" t="s">
        <v>30</v>
      </c>
      <c r="Q321" s="4" t="s">
        <v>30</v>
      </c>
      <c r="R321" s="4">
        <v>1.7669999999999999E-3</v>
      </c>
      <c r="S321" s="4">
        <v>9.4260000000000004E-4</v>
      </c>
      <c r="T321" s="4">
        <v>2.38</v>
      </c>
    </row>
    <row r="322" spans="1:30" hidden="1" outlineLevel="1" collapsed="1" x14ac:dyDescent="0.2">
      <c r="A322" t="s">
        <v>34</v>
      </c>
      <c r="B322" s="4" t="s">
        <v>30</v>
      </c>
      <c r="C322" s="4" t="s">
        <v>590</v>
      </c>
      <c r="D322" s="4" t="s">
        <v>34</v>
      </c>
      <c r="E322" s="4">
        <v>6.6923099999999999E-2</v>
      </c>
      <c r="F322" s="4">
        <v>3.7876699999999999E-3</v>
      </c>
      <c r="G322" s="4">
        <v>1</v>
      </c>
      <c r="H322" s="4">
        <v>2</v>
      </c>
      <c r="I322" s="4">
        <v>1</v>
      </c>
      <c r="J322" s="4">
        <v>2</v>
      </c>
      <c r="K322" s="4" t="s">
        <v>577</v>
      </c>
      <c r="L322" s="4" t="s">
        <v>591</v>
      </c>
      <c r="M322" s="4" t="s">
        <v>34</v>
      </c>
      <c r="N322" s="4">
        <v>0</v>
      </c>
      <c r="O322" s="4">
        <v>1132.6109300000001</v>
      </c>
      <c r="P322" s="4" t="s">
        <v>30</v>
      </c>
      <c r="Q322" s="4" t="s">
        <v>30</v>
      </c>
      <c r="R322" s="4">
        <v>1.7669999999999999E-3</v>
      </c>
      <c r="S322" s="4">
        <v>3.0089999999999999E-2</v>
      </c>
      <c r="T322" s="4">
        <v>2.14</v>
      </c>
    </row>
    <row r="323" spans="1:30" hidden="1" outlineLevel="1" collapsed="1" x14ac:dyDescent="0.2">
      <c r="A323" t="s">
        <v>34</v>
      </c>
      <c r="B323" s="4" t="s">
        <v>30</v>
      </c>
      <c r="C323" s="4" t="s">
        <v>592</v>
      </c>
      <c r="D323" s="4" t="s">
        <v>34</v>
      </c>
      <c r="E323" s="4">
        <v>7.1163400000000002E-2</v>
      </c>
      <c r="F323" s="4">
        <v>3.7876699999999999E-3</v>
      </c>
      <c r="G323" s="4">
        <v>1</v>
      </c>
      <c r="H323" s="4">
        <v>2</v>
      </c>
      <c r="I323" s="4">
        <v>1</v>
      </c>
      <c r="J323" s="4">
        <v>1</v>
      </c>
      <c r="K323" s="4" t="s">
        <v>577</v>
      </c>
      <c r="L323" s="4" t="s">
        <v>593</v>
      </c>
      <c r="M323" s="4" t="s">
        <v>34</v>
      </c>
      <c r="N323" s="4">
        <v>0</v>
      </c>
      <c r="O323" s="4">
        <v>961.49490000000003</v>
      </c>
      <c r="P323" s="4" t="s">
        <v>30</v>
      </c>
      <c r="Q323" s="4" t="s">
        <v>30</v>
      </c>
      <c r="R323" s="4">
        <v>1.7669999999999999E-3</v>
      </c>
      <c r="S323" s="4">
        <v>3.2259999999999997E-2</v>
      </c>
      <c r="T323" s="4">
        <v>1.17</v>
      </c>
    </row>
    <row r="324" spans="1:30" hidden="1" outlineLevel="1" collapsed="1" x14ac:dyDescent="0.2">
      <c r="A324" t="s">
        <v>34</v>
      </c>
      <c r="B324" s="4" t="s">
        <v>30</v>
      </c>
      <c r="C324" s="4" t="s">
        <v>553</v>
      </c>
      <c r="D324" s="4" t="s">
        <v>34</v>
      </c>
      <c r="E324" s="4">
        <v>5.0088899999999999E-2</v>
      </c>
      <c r="F324" s="4">
        <v>3.7876699999999999E-3</v>
      </c>
      <c r="G324" s="4">
        <v>3</v>
      </c>
      <c r="H324" s="4">
        <v>6</v>
      </c>
      <c r="I324" s="4">
        <v>1</v>
      </c>
      <c r="J324" s="4">
        <v>1</v>
      </c>
      <c r="K324" s="4" t="s">
        <v>554</v>
      </c>
      <c r="L324" s="4" t="s">
        <v>555</v>
      </c>
      <c r="M324" s="4" t="s">
        <v>34</v>
      </c>
      <c r="N324" s="4">
        <v>1</v>
      </c>
      <c r="O324" s="4">
        <v>1338.6899699999999</v>
      </c>
      <c r="P324" s="4" t="s">
        <v>30</v>
      </c>
      <c r="Q324" s="4" t="s">
        <v>30</v>
      </c>
      <c r="R324" s="4">
        <v>1.7669999999999999E-3</v>
      </c>
      <c r="S324" s="4">
        <v>2.1659999999999999E-2</v>
      </c>
      <c r="T324" s="4">
        <v>2.4</v>
      </c>
    </row>
    <row r="325" spans="1:30" hidden="1" outlineLevel="1" collapsed="1" x14ac:dyDescent="0.2">
      <c r="A325" t="s">
        <v>34</v>
      </c>
      <c r="B325" s="4" t="s">
        <v>30</v>
      </c>
      <c r="C325" s="4" t="s">
        <v>594</v>
      </c>
      <c r="D325" s="4" t="s">
        <v>34</v>
      </c>
      <c r="E325" s="4">
        <v>5.3289499999999997E-2</v>
      </c>
      <c r="F325" s="4">
        <v>3.7876699999999999E-3</v>
      </c>
      <c r="G325" s="4">
        <v>2</v>
      </c>
      <c r="H325" s="4">
        <v>3</v>
      </c>
      <c r="I325" s="4">
        <v>1</v>
      </c>
      <c r="J325" s="4">
        <v>1</v>
      </c>
      <c r="K325" s="4" t="s">
        <v>595</v>
      </c>
      <c r="L325" s="4" t="s">
        <v>596</v>
      </c>
      <c r="M325" s="4" t="s">
        <v>34</v>
      </c>
      <c r="N325" s="4">
        <v>1</v>
      </c>
      <c r="O325" s="4">
        <v>1080.5320099999999</v>
      </c>
      <c r="P325" s="4" t="s">
        <v>30</v>
      </c>
      <c r="Q325" s="4" t="s">
        <v>30</v>
      </c>
      <c r="R325" s="4">
        <v>1.7669999999999999E-3</v>
      </c>
      <c r="S325" s="4">
        <v>2.324E-2</v>
      </c>
      <c r="T325" s="4">
        <v>1.8</v>
      </c>
    </row>
    <row r="326" spans="1:30" collapsed="1" x14ac:dyDescent="0.2">
      <c r="A326" s="3" t="s">
        <v>30</v>
      </c>
      <c r="B326" s="3" t="s">
        <v>31</v>
      </c>
      <c r="C326" s="3" t="s">
        <v>597</v>
      </c>
      <c r="D326" s="3" t="s">
        <v>598</v>
      </c>
      <c r="E326" s="3">
        <v>0</v>
      </c>
      <c r="F326" s="3">
        <v>14.589</v>
      </c>
      <c r="G326" s="3">
        <v>11</v>
      </c>
      <c r="H326" s="3">
        <v>8</v>
      </c>
      <c r="I326" s="3">
        <v>9</v>
      </c>
      <c r="J326" s="3">
        <v>12</v>
      </c>
      <c r="K326" s="3">
        <v>3</v>
      </c>
      <c r="L326" s="3">
        <v>638</v>
      </c>
      <c r="M326" s="3">
        <v>65.8</v>
      </c>
      <c r="N326" s="3">
        <v>8.1199999999999992</v>
      </c>
      <c r="O326" s="3">
        <v>9.42</v>
      </c>
      <c r="P326" s="3">
        <v>8</v>
      </c>
      <c r="Q326" s="3" t="s">
        <v>34</v>
      </c>
      <c r="R326" s="3" t="s">
        <v>34</v>
      </c>
      <c r="S326" s="3" t="s">
        <v>34</v>
      </c>
      <c r="T326" s="3" t="s">
        <v>34</v>
      </c>
      <c r="U326" s="3" t="s">
        <v>34</v>
      </c>
      <c r="V326" s="3" t="s">
        <v>597</v>
      </c>
      <c r="W326" s="3" t="s">
        <v>34</v>
      </c>
      <c r="X326" s="3" t="s">
        <v>34</v>
      </c>
      <c r="Y326" s="3" t="s">
        <v>34</v>
      </c>
      <c r="Z326" s="3" t="s">
        <v>34</v>
      </c>
      <c r="AA326" s="3">
        <v>0</v>
      </c>
      <c r="AB326" s="3" t="s">
        <v>30</v>
      </c>
      <c r="AC326" s="3">
        <v>1</v>
      </c>
      <c r="AD326" s="3" t="s">
        <v>34</v>
      </c>
    </row>
    <row r="327" spans="1:30" hidden="1" outlineLevel="1" collapsed="1" x14ac:dyDescent="0.2">
      <c r="A327" t="s">
        <v>34</v>
      </c>
      <c r="B327" s="2" t="s">
        <v>36</v>
      </c>
      <c r="C327" s="2" t="s">
        <v>37</v>
      </c>
      <c r="D327" s="2" t="s">
        <v>29</v>
      </c>
      <c r="E327" s="2" t="s">
        <v>38</v>
      </c>
      <c r="F327" s="2" t="s">
        <v>39</v>
      </c>
      <c r="G327" s="2" t="s">
        <v>28</v>
      </c>
      <c r="H327" s="2" t="s">
        <v>40</v>
      </c>
      <c r="I327" s="2" t="s">
        <v>8</v>
      </c>
      <c r="J327" s="2" t="s">
        <v>9</v>
      </c>
      <c r="K327" s="2" t="s">
        <v>41</v>
      </c>
      <c r="L327" s="2" t="s">
        <v>42</v>
      </c>
      <c r="M327" s="2" t="s">
        <v>43</v>
      </c>
      <c r="N327" s="2" t="s">
        <v>44</v>
      </c>
      <c r="O327" s="2" t="s">
        <v>45</v>
      </c>
      <c r="P327" s="2" t="s">
        <v>27</v>
      </c>
      <c r="Q327" s="2" t="s">
        <v>46</v>
      </c>
      <c r="R327" s="2" t="s">
        <v>47</v>
      </c>
      <c r="S327" s="2" t="s">
        <v>48</v>
      </c>
      <c r="T327" s="2" t="s">
        <v>49</v>
      </c>
    </row>
    <row r="328" spans="1:30" hidden="1" outlineLevel="1" collapsed="1" x14ac:dyDescent="0.2">
      <c r="A328" t="s">
        <v>34</v>
      </c>
      <c r="B328" s="4" t="s">
        <v>30</v>
      </c>
      <c r="C328" s="4" t="s">
        <v>223</v>
      </c>
      <c r="D328" s="4" t="s">
        <v>34</v>
      </c>
      <c r="E328" s="4">
        <v>4.2578900000000003E-2</v>
      </c>
      <c r="F328" s="4">
        <v>3.7876699999999999E-3</v>
      </c>
      <c r="G328" s="4">
        <v>3</v>
      </c>
      <c r="H328" s="4">
        <v>4</v>
      </c>
      <c r="I328" s="4">
        <v>1</v>
      </c>
      <c r="J328" s="4">
        <v>1</v>
      </c>
      <c r="K328" s="4" t="s">
        <v>224</v>
      </c>
      <c r="L328" s="4" t="s">
        <v>225</v>
      </c>
      <c r="M328" s="4" t="s">
        <v>34</v>
      </c>
      <c r="N328" s="4">
        <v>0</v>
      </c>
      <c r="O328" s="4">
        <v>1139.5401400000001</v>
      </c>
      <c r="P328" s="4" t="s">
        <v>30</v>
      </c>
      <c r="Q328" s="4" t="s">
        <v>30</v>
      </c>
      <c r="R328" s="4">
        <v>1.7669999999999999E-3</v>
      </c>
      <c r="S328" s="4">
        <v>1.796E-2</v>
      </c>
      <c r="T328" s="4">
        <v>2.84</v>
      </c>
    </row>
    <row r="329" spans="1:30" hidden="1" outlineLevel="1" collapsed="1" x14ac:dyDescent="0.2">
      <c r="A329" t="s">
        <v>34</v>
      </c>
      <c r="B329" s="4" t="s">
        <v>30</v>
      </c>
      <c r="C329" s="4" t="s">
        <v>223</v>
      </c>
      <c r="D329" s="4" t="s">
        <v>61</v>
      </c>
      <c r="E329" s="4">
        <v>3.4978000000000002E-2</v>
      </c>
      <c r="F329" s="4">
        <v>3.7876699999999999E-3</v>
      </c>
      <c r="G329" s="4">
        <v>3</v>
      </c>
      <c r="H329" s="4">
        <v>4</v>
      </c>
      <c r="I329" s="4">
        <v>1</v>
      </c>
      <c r="J329" s="4">
        <v>1</v>
      </c>
      <c r="K329" s="4" t="s">
        <v>224</v>
      </c>
      <c r="L329" s="4" t="s">
        <v>225</v>
      </c>
      <c r="M329" s="4" t="s">
        <v>34</v>
      </c>
      <c r="N329" s="4">
        <v>0</v>
      </c>
      <c r="O329" s="4">
        <v>1155.53505</v>
      </c>
      <c r="P329" s="4" t="s">
        <v>30</v>
      </c>
      <c r="Q329" s="4" t="s">
        <v>30</v>
      </c>
      <c r="R329" s="4">
        <v>1.7669999999999999E-3</v>
      </c>
      <c r="S329" s="4">
        <v>1.4409999999999999E-2</v>
      </c>
      <c r="T329" s="4">
        <v>1.84</v>
      </c>
    </row>
    <row r="330" spans="1:30" hidden="1" outlineLevel="1" collapsed="1" x14ac:dyDescent="0.2">
      <c r="A330" t="s">
        <v>34</v>
      </c>
      <c r="B330" s="4" t="s">
        <v>30</v>
      </c>
      <c r="C330" s="4" t="s">
        <v>228</v>
      </c>
      <c r="D330" s="4" t="s">
        <v>34</v>
      </c>
      <c r="E330" s="4">
        <v>5.2784499999999998E-2</v>
      </c>
      <c r="F330" s="4">
        <v>3.7876699999999999E-3</v>
      </c>
      <c r="G330" s="4">
        <v>10</v>
      </c>
      <c r="H330" s="4">
        <v>22</v>
      </c>
      <c r="I330" s="4">
        <v>1</v>
      </c>
      <c r="J330" s="4">
        <v>4</v>
      </c>
      <c r="K330" s="4" t="s">
        <v>229</v>
      </c>
      <c r="L330" s="4" t="s">
        <v>230</v>
      </c>
      <c r="M330" s="4" t="s">
        <v>34</v>
      </c>
      <c r="N330" s="4">
        <v>0</v>
      </c>
      <c r="O330" s="4">
        <v>827.42978000000005</v>
      </c>
      <c r="P330" s="4" t="s">
        <v>30</v>
      </c>
      <c r="Q330" s="4" t="s">
        <v>30</v>
      </c>
      <c r="R330" s="4">
        <v>1.7669999999999999E-3</v>
      </c>
      <c r="S330" s="4">
        <v>2.2929999999999999E-2</v>
      </c>
      <c r="T330" s="4">
        <v>1.3</v>
      </c>
    </row>
    <row r="331" spans="1:30" hidden="1" outlineLevel="1" collapsed="1" x14ac:dyDescent="0.2">
      <c r="A331" t="s">
        <v>34</v>
      </c>
      <c r="B331" s="4" t="s">
        <v>30</v>
      </c>
      <c r="C331" s="4" t="s">
        <v>432</v>
      </c>
      <c r="D331" s="4" t="s">
        <v>34</v>
      </c>
      <c r="E331" s="4">
        <v>0.108998</v>
      </c>
      <c r="F331" s="4">
        <v>3.7876699999999999E-3</v>
      </c>
      <c r="G331" s="4">
        <v>7</v>
      </c>
      <c r="H331" s="4">
        <v>22</v>
      </c>
      <c r="I331" s="4">
        <v>1</v>
      </c>
      <c r="J331" s="4">
        <v>1</v>
      </c>
      <c r="K331" s="4" t="s">
        <v>433</v>
      </c>
      <c r="L331" s="4" t="s">
        <v>434</v>
      </c>
      <c r="M331" s="4" t="s">
        <v>34</v>
      </c>
      <c r="N331" s="4">
        <v>0</v>
      </c>
      <c r="O331" s="4">
        <v>906.46795999999995</v>
      </c>
      <c r="P331" s="4" t="s">
        <v>30</v>
      </c>
      <c r="Q331" s="4" t="s">
        <v>30</v>
      </c>
      <c r="R331" s="4">
        <v>1.7669999999999999E-3</v>
      </c>
      <c r="S331" s="4">
        <v>5.2359999999999997E-2</v>
      </c>
      <c r="T331" s="4">
        <v>1.41</v>
      </c>
    </row>
    <row r="332" spans="1:30" hidden="1" outlineLevel="1" collapsed="1" x14ac:dyDescent="0.2">
      <c r="A332" t="s">
        <v>34</v>
      </c>
      <c r="B332" s="4" t="s">
        <v>30</v>
      </c>
      <c r="C332" s="4" t="s">
        <v>550</v>
      </c>
      <c r="D332" s="4" t="s">
        <v>34</v>
      </c>
      <c r="E332" s="4">
        <v>5.2180799999999999E-3</v>
      </c>
      <c r="F332" s="4">
        <v>3.7876699999999999E-3</v>
      </c>
      <c r="G332" s="4">
        <v>2</v>
      </c>
      <c r="H332" s="4">
        <v>2</v>
      </c>
      <c r="I332" s="4">
        <v>1</v>
      </c>
      <c r="J332" s="4">
        <v>1</v>
      </c>
      <c r="K332" s="4" t="s">
        <v>551</v>
      </c>
      <c r="L332" s="4" t="s">
        <v>552</v>
      </c>
      <c r="M332" s="4" t="s">
        <v>34</v>
      </c>
      <c r="N332" s="4">
        <v>0</v>
      </c>
      <c r="O332" s="4">
        <v>1045.5636500000001</v>
      </c>
      <c r="P332" s="4" t="s">
        <v>30</v>
      </c>
      <c r="Q332" s="4" t="s">
        <v>30</v>
      </c>
      <c r="R332" s="4">
        <v>1.7669999999999999E-3</v>
      </c>
      <c r="S332" s="4">
        <v>1.7149999999999999E-3</v>
      </c>
      <c r="T332" s="4">
        <v>2.65</v>
      </c>
    </row>
    <row r="333" spans="1:30" hidden="1" outlineLevel="1" collapsed="1" x14ac:dyDescent="0.2">
      <c r="A333" t="s">
        <v>34</v>
      </c>
      <c r="B333" s="4" t="s">
        <v>30</v>
      </c>
      <c r="C333" s="4" t="s">
        <v>245</v>
      </c>
      <c r="D333" s="4" t="s">
        <v>148</v>
      </c>
      <c r="E333" s="4">
        <v>0.104048</v>
      </c>
      <c r="F333" s="4">
        <v>3.7876699999999999E-3</v>
      </c>
      <c r="G333" s="4">
        <v>6</v>
      </c>
      <c r="H333" s="4">
        <v>13</v>
      </c>
      <c r="I333" s="4">
        <v>1</v>
      </c>
      <c r="J333" s="4">
        <v>1</v>
      </c>
      <c r="K333" s="4" t="s">
        <v>246</v>
      </c>
      <c r="L333" s="4" t="s">
        <v>247</v>
      </c>
      <c r="M333" s="4" t="s">
        <v>34</v>
      </c>
      <c r="N333" s="4">
        <v>0</v>
      </c>
      <c r="O333" s="4">
        <v>1005.4669699999999</v>
      </c>
      <c r="P333" s="4" t="s">
        <v>30</v>
      </c>
      <c r="Q333" s="4" t="s">
        <v>30</v>
      </c>
      <c r="R333" s="4">
        <v>1.7669999999999999E-3</v>
      </c>
      <c r="S333" s="4">
        <v>4.972E-2</v>
      </c>
      <c r="T333" s="4">
        <v>1.21</v>
      </c>
    </row>
    <row r="334" spans="1:30" hidden="1" outlineLevel="1" collapsed="1" x14ac:dyDescent="0.2">
      <c r="A334" t="s">
        <v>34</v>
      </c>
      <c r="B334" s="4" t="s">
        <v>30</v>
      </c>
      <c r="C334" s="4" t="s">
        <v>599</v>
      </c>
      <c r="D334" s="4" t="s">
        <v>34</v>
      </c>
      <c r="E334" s="4">
        <v>9.2158299999999999E-2</v>
      </c>
      <c r="F334" s="4">
        <v>3.7876699999999999E-3</v>
      </c>
      <c r="G334" s="4">
        <v>1</v>
      </c>
      <c r="H334" s="4">
        <v>1</v>
      </c>
      <c r="I334" s="4">
        <v>1</v>
      </c>
      <c r="J334" s="4">
        <v>1</v>
      </c>
      <c r="K334" s="4" t="s">
        <v>597</v>
      </c>
      <c r="L334" s="4" t="s">
        <v>600</v>
      </c>
      <c r="M334" s="4" t="s">
        <v>34</v>
      </c>
      <c r="N334" s="4">
        <v>0</v>
      </c>
      <c r="O334" s="4">
        <v>1030.5527500000001</v>
      </c>
      <c r="P334" s="4" t="s">
        <v>30</v>
      </c>
      <c r="Q334" s="4" t="s">
        <v>30</v>
      </c>
      <c r="R334" s="4">
        <v>1.7669999999999999E-3</v>
      </c>
      <c r="S334" s="4">
        <v>4.3310000000000001E-2</v>
      </c>
      <c r="T334" s="4">
        <v>1.34</v>
      </c>
    </row>
    <row r="335" spans="1:30" hidden="1" outlineLevel="1" collapsed="1" x14ac:dyDescent="0.2">
      <c r="A335" t="s">
        <v>34</v>
      </c>
      <c r="B335" s="4" t="s">
        <v>30</v>
      </c>
      <c r="C335" s="4" t="s">
        <v>601</v>
      </c>
      <c r="D335" s="4" t="s">
        <v>442</v>
      </c>
      <c r="E335" s="4">
        <v>0.10849300000000001</v>
      </c>
      <c r="F335" s="4">
        <v>3.7876699999999999E-3</v>
      </c>
      <c r="G335" s="4">
        <v>1</v>
      </c>
      <c r="H335" s="4">
        <v>1</v>
      </c>
      <c r="I335" s="4">
        <v>1</v>
      </c>
      <c r="J335" s="4">
        <v>1</v>
      </c>
      <c r="K335" s="4" t="s">
        <v>597</v>
      </c>
      <c r="L335" s="4" t="s">
        <v>602</v>
      </c>
      <c r="M335" s="4" t="s">
        <v>34</v>
      </c>
      <c r="N335" s="4">
        <v>0</v>
      </c>
      <c r="O335" s="4">
        <v>1227.55618</v>
      </c>
      <c r="P335" s="4" t="s">
        <v>30</v>
      </c>
      <c r="Q335" s="4" t="s">
        <v>30</v>
      </c>
      <c r="R335" s="4">
        <v>1.7669999999999999E-3</v>
      </c>
      <c r="S335" s="4">
        <v>5.2069999999999998E-2</v>
      </c>
      <c r="T335" s="4">
        <v>1.07</v>
      </c>
    </row>
    <row r="336" spans="1:30" hidden="1" outlineLevel="1" collapsed="1" x14ac:dyDescent="0.2">
      <c r="A336" t="s">
        <v>34</v>
      </c>
      <c r="B336" s="4" t="s">
        <v>30</v>
      </c>
      <c r="C336" s="4" t="s">
        <v>603</v>
      </c>
      <c r="D336" s="4" t="s">
        <v>34</v>
      </c>
      <c r="E336" s="4">
        <v>9.1728000000000004E-2</v>
      </c>
      <c r="F336" s="4">
        <v>3.7876699999999999E-3</v>
      </c>
      <c r="G336" s="4">
        <v>1</v>
      </c>
      <c r="H336" s="4">
        <v>1</v>
      </c>
      <c r="I336" s="4">
        <v>1</v>
      </c>
      <c r="J336" s="4">
        <v>1</v>
      </c>
      <c r="K336" s="4" t="s">
        <v>597</v>
      </c>
      <c r="L336" s="4" t="s">
        <v>604</v>
      </c>
      <c r="M336" s="4" t="s">
        <v>34</v>
      </c>
      <c r="N336" s="4">
        <v>0</v>
      </c>
      <c r="O336" s="4">
        <v>1137.55348</v>
      </c>
      <c r="P336" s="4" t="s">
        <v>30</v>
      </c>
      <c r="Q336" s="4" t="s">
        <v>30</v>
      </c>
      <c r="R336" s="4">
        <v>1.7669999999999999E-3</v>
      </c>
      <c r="S336" s="4">
        <v>4.3139999999999998E-2</v>
      </c>
      <c r="T336" s="4">
        <v>0.75</v>
      </c>
    </row>
    <row r="337" spans="1:30" collapsed="1" x14ac:dyDescent="0.2">
      <c r="A337" s="3" t="s">
        <v>30</v>
      </c>
      <c r="B337" s="3" t="s">
        <v>31</v>
      </c>
      <c r="C337" s="3" t="s">
        <v>605</v>
      </c>
      <c r="D337" s="3" t="s">
        <v>606</v>
      </c>
      <c r="E337" s="3">
        <v>0</v>
      </c>
      <c r="F337" s="3">
        <v>14.173999999999999</v>
      </c>
      <c r="G337" s="3">
        <v>18</v>
      </c>
      <c r="H337" s="3">
        <v>11</v>
      </c>
      <c r="I337" s="3">
        <v>11</v>
      </c>
      <c r="J337" s="3">
        <v>11</v>
      </c>
      <c r="K337" s="3">
        <v>11</v>
      </c>
      <c r="L337" s="3">
        <v>452</v>
      </c>
      <c r="M337" s="3">
        <v>50.5</v>
      </c>
      <c r="N337" s="3">
        <v>5.67</v>
      </c>
      <c r="O337" s="3">
        <v>6.98</v>
      </c>
      <c r="P337" s="3">
        <v>11</v>
      </c>
      <c r="Q337" s="3" t="s">
        <v>34</v>
      </c>
      <c r="R337" s="3" t="s">
        <v>34</v>
      </c>
      <c r="S337" s="3" t="s">
        <v>34</v>
      </c>
      <c r="T337" s="3" t="s">
        <v>34</v>
      </c>
      <c r="U337" s="3" t="s">
        <v>34</v>
      </c>
      <c r="V337" s="3" t="s">
        <v>605</v>
      </c>
      <c r="W337" s="3" t="s">
        <v>34</v>
      </c>
      <c r="X337" s="3" t="s">
        <v>34</v>
      </c>
      <c r="Y337" s="3" t="s">
        <v>34</v>
      </c>
      <c r="Z337" s="3" t="s">
        <v>34</v>
      </c>
      <c r="AA337" s="3">
        <v>0</v>
      </c>
      <c r="AB337" s="3" t="s">
        <v>30</v>
      </c>
      <c r="AC337" s="3">
        <v>1</v>
      </c>
      <c r="AD337" s="3" t="s">
        <v>34</v>
      </c>
    </row>
    <row r="338" spans="1:30" hidden="1" outlineLevel="1" collapsed="1" x14ac:dyDescent="0.2">
      <c r="A338" t="s">
        <v>34</v>
      </c>
      <c r="B338" s="2" t="s">
        <v>36</v>
      </c>
      <c r="C338" s="2" t="s">
        <v>37</v>
      </c>
      <c r="D338" s="2" t="s">
        <v>29</v>
      </c>
      <c r="E338" s="2" t="s">
        <v>38</v>
      </c>
      <c r="F338" s="2" t="s">
        <v>39</v>
      </c>
      <c r="G338" s="2" t="s">
        <v>28</v>
      </c>
      <c r="H338" s="2" t="s">
        <v>40</v>
      </c>
      <c r="I338" s="2" t="s">
        <v>8</v>
      </c>
      <c r="J338" s="2" t="s">
        <v>9</v>
      </c>
      <c r="K338" s="2" t="s">
        <v>41</v>
      </c>
      <c r="L338" s="2" t="s">
        <v>42</v>
      </c>
      <c r="M338" s="2" t="s">
        <v>43</v>
      </c>
      <c r="N338" s="2" t="s">
        <v>44</v>
      </c>
      <c r="O338" s="2" t="s">
        <v>45</v>
      </c>
      <c r="P338" s="2" t="s">
        <v>27</v>
      </c>
      <c r="Q338" s="2" t="s">
        <v>46</v>
      </c>
      <c r="R338" s="2" t="s">
        <v>47</v>
      </c>
      <c r="S338" s="2" t="s">
        <v>48</v>
      </c>
      <c r="T338" s="2" t="s">
        <v>49</v>
      </c>
    </row>
    <row r="339" spans="1:30" hidden="1" outlineLevel="1" collapsed="1" x14ac:dyDescent="0.2">
      <c r="A339" t="s">
        <v>34</v>
      </c>
      <c r="B339" s="4" t="s">
        <v>30</v>
      </c>
      <c r="C339" s="4" t="s">
        <v>607</v>
      </c>
      <c r="D339" s="4" t="s">
        <v>34</v>
      </c>
      <c r="E339" s="4">
        <v>0.14295099999999999</v>
      </c>
      <c r="F339" s="4">
        <v>7.4059499999999997E-3</v>
      </c>
      <c r="G339" s="4">
        <v>1</v>
      </c>
      <c r="H339" s="4">
        <v>1</v>
      </c>
      <c r="I339" s="4">
        <v>1</v>
      </c>
      <c r="J339" s="4">
        <v>1</v>
      </c>
      <c r="K339" s="4" t="s">
        <v>605</v>
      </c>
      <c r="L339" s="4" t="s">
        <v>608</v>
      </c>
      <c r="M339" s="4" t="s">
        <v>34</v>
      </c>
      <c r="N339" s="4">
        <v>0</v>
      </c>
      <c r="O339" s="4">
        <v>875.43699000000004</v>
      </c>
      <c r="P339" s="4" t="s">
        <v>30</v>
      </c>
      <c r="Q339" s="4" t="s">
        <v>30</v>
      </c>
      <c r="R339" s="4">
        <v>3.356E-3</v>
      </c>
      <c r="S339" s="4">
        <v>7.1679999999999994E-2</v>
      </c>
      <c r="T339" s="4">
        <v>1.0900000000000001</v>
      </c>
    </row>
    <row r="340" spans="1:30" hidden="1" outlineLevel="1" collapsed="1" x14ac:dyDescent="0.2">
      <c r="A340" t="s">
        <v>34</v>
      </c>
      <c r="B340" s="4" t="s">
        <v>30</v>
      </c>
      <c r="C340" s="4" t="s">
        <v>609</v>
      </c>
      <c r="D340" s="4" t="s">
        <v>34</v>
      </c>
      <c r="E340" s="4">
        <v>1.77071E-2</v>
      </c>
      <c r="F340" s="4">
        <v>3.7876699999999999E-3</v>
      </c>
      <c r="G340" s="4">
        <v>1</v>
      </c>
      <c r="H340" s="4">
        <v>1</v>
      </c>
      <c r="I340" s="4">
        <v>1</v>
      </c>
      <c r="J340" s="4">
        <v>1</v>
      </c>
      <c r="K340" s="4" t="s">
        <v>605</v>
      </c>
      <c r="L340" s="4" t="s">
        <v>610</v>
      </c>
      <c r="M340" s="4" t="s">
        <v>34</v>
      </c>
      <c r="N340" s="4">
        <v>1</v>
      </c>
      <c r="O340" s="4">
        <v>1016.5371</v>
      </c>
      <c r="P340" s="4" t="s">
        <v>30</v>
      </c>
      <c r="Q340" s="4" t="s">
        <v>30</v>
      </c>
      <c r="R340" s="4">
        <v>1.7669999999999999E-3</v>
      </c>
      <c r="S340" s="4">
        <v>6.7080000000000004E-3</v>
      </c>
      <c r="T340" s="4">
        <v>1.87</v>
      </c>
    </row>
    <row r="341" spans="1:30" hidden="1" outlineLevel="1" collapsed="1" x14ac:dyDescent="0.2">
      <c r="A341" t="s">
        <v>34</v>
      </c>
      <c r="B341" s="4" t="s">
        <v>30</v>
      </c>
      <c r="C341" s="4" t="s">
        <v>611</v>
      </c>
      <c r="D341" s="4" t="s">
        <v>34</v>
      </c>
      <c r="E341" s="4">
        <v>0.181284</v>
      </c>
      <c r="F341" s="4">
        <v>9.5666499999999995E-3</v>
      </c>
      <c r="G341" s="4">
        <v>1</v>
      </c>
      <c r="H341" s="4">
        <v>2</v>
      </c>
      <c r="I341" s="4">
        <v>1</v>
      </c>
      <c r="J341" s="4">
        <v>1</v>
      </c>
      <c r="K341" s="4" t="s">
        <v>605</v>
      </c>
      <c r="L341" s="4" t="s">
        <v>612</v>
      </c>
      <c r="M341" s="4" t="s">
        <v>34</v>
      </c>
      <c r="N341" s="4">
        <v>0</v>
      </c>
      <c r="O341" s="4">
        <v>787.43083999999999</v>
      </c>
      <c r="P341" s="4" t="s">
        <v>30</v>
      </c>
      <c r="Q341" s="4" t="s">
        <v>30</v>
      </c>
      <c r="R341" s="4">
        <v>4.1380000000000002E-3</v>
      </c>
      <c r="S341" s="4">
        <v>9.4640000000000002E-2</v>
      </c>
      <c r="T341" s="4">
        <v>1.81</v>
      </c>
    </row>
    <row r="342" spans="1:30" hidden="1" outlineLevel="1" collapsed="1" x14ac:dyDescent="0.2">
      <c r="A342" t="s">
        <v>34</v>
      </c>
      <c r="B342" s="4" t="s">
        <v>30</v>
      </c>
      <c r="C342" s="4" t="s">
        <v>613</v>
      </c>
      <c r="D342" s="4" t="s">
        <v>34</v>
      </c>
      <c r="E342" s="4">
        <v>0.165133</v>
      </c>
      <c r="F342" s="4">
        <v>9.5666499999999995E-3</v>
      </c>
      <c r="G342" s="4">
        <v>1</v>
      </c>
      <c r="H342" s="4">
        <v>1</v>
      </c>
      <c r="I342" s="4">
        <v>1</v>
      </c>
      <c r="J342" s="4">
        <v>1</v>
      </c>
      <c r="K342" s="4" t="s">
        <v>605</v>
      </c>
      <c r="L342" s="4" t="s">
        <v>614</v>
      </c>
      <c r="M342" s="4" t="s">
        <v>34</v>
      </c>
      <c r="N342" s="4">
        <v>0</v>
      </c>
      <c r="O342" s="4">
        <v>888.44213999999999</v>
      </c>
      <c r="P342" s="4" t="s">
        <v>30</v>
      </c>
      <c r="Q342" s="4" t="s">
        <v>30</v>
      </c>
      <c r="R342" s="4">
        <v>4.1380000000000002E-3</v>
      </c>
      <c r="S342" s="4">
        <v>8.4919999999999995E-2</v>
      </c>
      <c r="T342" s="4">
        <v>0.63</v>
      </c>
    </row>
    <row r="343" spans="1:30" hidden="1" outlineLevel="1" collapsed="1" x14ac:dyDescent="0.2">
      <c r="A343" t="s">
        <v>34</v>
      </c>
      <c r="B343" s="4" t="s">
        <v>30</v>
      </c>
      <c r="C343" s="4" t="s">
        <v>615</v>
      </c>
      <c r="D343" s="4" t="s">
        <v>34</v>
      </c>
      <c r="E343" s="4">
        <v>0.218588</v>
      </c>
      <c r="F343" s="4">
        <v>9.5666499999999995E-3</v>
      </c>
      <c r="G343" s="4">
        <v>1</v>
      </c>
      <c r="H343" s="4">
        <v>1</v>
      </c>
      <c r="I343" s="4">
        <v>1</v>
      </c>
      <c r="J343" s="4">
        <v>1</v>
      </c>
      <c r="K343" s="4" t="s">
        <v>605</v>
      </c>
      <c r="L343" s="4" t="s">
        <v>616</v>
      </c>
      <c r="M343" s="4" t="s">
        <v>34</v>
      </c>
      <c r="N343" s="4">
        <v>0</v>
      </c>
      <c r="O343" s="4">
        <v>873.47886000000005</v>
      </c>
      <c r="P343" s="4" t="s">
        <v>30</v>
      </c>
      <c r="Q343" s="4" t="s">
        <v>30</v>
      </c>
      <c r="R343" s="4">
        <v>4.1380000000000002E-3</v>
      </c>
      <c r="S343" s="4">
        <v>0.11840000000000001</v>
      </c>
      <c r="T343" s="4">
        <v>1.69</v>
      </c>
    </row>
    <row r="344" spans="1:30" hidden="1" outlineLevel="1" collapsed="1" x14ac:dyDescent="0.2">
      <c r="A344" t="s">
        <v>34</v>
      </c>
      <c r="B344" s="4" t="s">
        <v>30</v>
      </c>
      <c r="C344" s="4" t="s">
        <v>617</v>
      </c>
      <c r="D344" s="4" t="s">
        <v>34</v>
      </c>
      <c r="E344" s="4">
        <v>7.3207099999999997E-2</v>
      </c>
      <c r="F344" s="4">
        <v>3.7876699999999999E-3</v>
      </c>
      <c r="G344" s="4">
        <v>1</v>
      </c>
      <c r="H344" s="4">
        <v>1</v>
      </c>
      <c r="I344" s="4">
        <v>1</v>
      </c>
      <c r="J344" s="4">
        <v>1</v>
      </c>
      <c r="K344" s="4" t="s">
        <v>605</v>
      </c>
      <c r="L344" s="4" t="s">
        <v>618</v>
      </c>
      <c r="M344" s="4" t="s">
        <v>34</v>
      </c>
      <c r="N344" s="4">
        <v>0</v>
      </c>
      <c r="O344" s="4">
        <v>1016.5371</v>
      </c>
      <c r="P344" s="4" t="s">
        <v>30</v>
      </c>
      <c r="Q344" s="4" t="s">
        <v>30</v>
      </c>
      <c r="R344" s="4">
        <v>1.7669999999999999E-3</v>
      </c>
      <c r="S344" s="4">
        <v>3.3349999999999998E-2</v>
      </c>
      <c r="T344" s="4">
        <v>1.59</v>
      </c>
    </row>
    <row r="345" spans="1:30" hidden="1" outlineLevel="1" collapsed="1" x14ac:dyDescent="0.2">
      <c r="A345" t="s">
        <v>34</v>
      </c>
      <c r="B345" s="4" t="s">
        <v>30</v>
      </c>
      <c r="C345" s="4" t="s">
        <v>619</v>
      </c>
      <c r="D345" s="4" t="s">
        <v>34</v>
      </c>
      <c r="E345" s="4">
        <v>9.6118700000000001E-2</v>
      </c>
      <c r="F345" s="4">
        <v>3.7876699999999999E-3</v>
      </c>
      <c r="G345" s="4">
        <v>1</v>
      </c>
      <c r="H345" s="4">
        <v>1</v>
      </c>
      <c r="I345" s="4">
        <v>1</v>
      </c>
      <c r="J345" s="4">
        <v>1</v>
      </c>
      <c r="K345" s="4" t="s">
        <v>605</v>
      </c>
      <c r="L345" s="4" t="s">
        <v>620</v>
      </c>
      <c r="M345" s="4" t="s">
        <v>34</v>
      </c>
      <c r="N345" s="4">
        <v>0</v>
      </c>
      <c r="O345" s="4">
        <v>1154.53241</v>
      </c>
      <c r="P345" s="4" t="s">
        <v>30</v>
      </c>
      <c r="Q345" s="4" t="s">
        <v>30</v>
      </c>
      <c r="R345" s="4">
        <v>1.7669999999999999E-3</v>
      </c>
      <c r="S345" s="4">
        <v>4.5319999999999999E-2</v>
      </c>
      <c r="T345" s="4">
        <v>1.46</v>
      </c>
    </row>
    <row r="346" spans="1:30" hidden="1" outlineLevel="1" collapsed="1" x14ac:dyDescent="0.2">
      <c r="A346" t="s">
        <v>34</v>
      </c>
      <c r="B346" s="4" t="s">
        <v>30</v>
      </c>
      <c r="C346" s="4" t="s">
        <v>621</v>
      </c>
      <c r="D346" s="4" t="s">
        <v>34</v>
      </c>
      <c r="E346" s="4">
        <v>3.96269E-2</v>
      </c>
      <c r="F346" s="4">
        <v>3.7876699999999999E-3</v>
      </c>
      <c r="G346" s="4">
        <v>1</v>
      </c>
      <c r="H346" s="4">
        <v>1</v>
      </c>
      <c r="I346" s="4">
        <v>1</v>
      </c>
      <c r="J346" s="4">
        <v>1</v>
      </c>
      <c r="K346" s="4" t="s">
        <v>605</v>
      </c>
      <c r="L346" s="4" t="s">
        <v>622</v>
      </c>
      <c r="M346" s="4" t="s">
        <v>34</v>
      </c>
      <c r="N346" s="4">
        <v>0</v>
      </c>
      <c r="O346" s="4">
        <v>1031.51161</v>
      </c>
      <c r="P346" s="4" t="s">
        <v>30</v>
      </c>
      <c r="Q346" s="4" t="s">
        <v>30</v>
      </c>
      <c r="R346" s="4">
        <v>1.7669999999999999E-3</v>
      </c>
      <c r="S346" s="4">
        <v>1.6629999999999999E-2</v>
      </c>
      <c r="T346" s="4">
        <v>1.62</v>
      </c>
    </row>
    <row r="347" spans="1:30" hidden="1" outlineLevel="1" collapsed="1" x14ac:dyDescent="0.2">
      <c r="A347" t="s">
        <v>34</v>
      </c>
      <c r="B347" s="4" t="s">
        <v>30</v>
      </c>
      <c r="C347" s="4" t="s">
        <v>623</v>
      </c>
      <c r="D347" s="4" t="s">
        <v>34</v>
      </c>
      <c r="E347" s="4">
        <v>0.16886100000000001</v>
      </c>
      <c r="F347" s="4">
        <v>9.5666499999999995E-3</v>
      </c>
      <c r="G347" s="4">
        <v>1</v>
      </c>
      <c r="H347" s="4">
        <v>1</v>
      </c>
      <c r="I347" s="4">
        <v>1</v>
      </c>
      <c r="J347" s="4">
        <v>1</v>
      </c>
      <c r="K347" s="4" t="s">
        <v>605</v>
      </c>
      <c r="L347" s="4" t="s">
        <v>624</v>
      </c>
      <c r="M347" s="4" t="s">
        <v>34</v>
      </c>
      <c r="N347" s="4">
        <v>0</v>
      </c>
      <c r="O347" s="4">
        <v>774.47198000000003</v>
      </c>
      <c r="P347" s="4" t="s">
        <v>30</v>
      </c>
      <c r="Q347" s="4" t="s">
        <v>30</v>
      </c>
      <c r="R347" s="4">
        <v>4.1380000000000002E-3</v>
      </c>
      <c r="S347" s="4">
        <v>8.6860000000000007E-2</v>
      </c>
      <c r="T347" s="4">
        <v>1.44</v>
      </c>
    </row>
    <row r="348" spans="1:30" hidden="1" outlineLevel="1" collapsed="1" x14ac:dyDescent="0.2">
      <c r="A348" t="s">
        <v>34</v>
      </c>
      <c r="B348" s="4" t="s">
        <v>30</v>
      </c>
      <c r="C348" s="4" t="s">
        <v>625</v>
      </c>
      <c r="D348" s="4" t="s">
        <v>34</v>
      </c>
      <c r="E348" s="4">
        <v>0.12235600000000001</v>
      </c>
      <c r="F348" s="4">
        <v>3.7876699999999999E-3</v>
      </c>
      <c r="G348" s="4">
        <v>1</v>
      </c>
      <c r="H348" s="4">
        <v>1</v>
      </c>
      <c r="I348" s="4">
        <v>1</v>
      </c>
      <c r="J348" s="4">
        <v>1</v>
      </c>
      <c r="K348" s="4" t="s">
        <v>605</v>
      </c>
      <c r="L348" s="4" t="s">
        <v>626</v>
      </c>
      <c r="M348" s="4" t="s">
        <v>34</v>
      </c>
      <c r="N348" s="4">
        <v>0</v>
      </c>
      <c r="O348" s="4">
        <v>1023.5357</v>
      </c>
      <c r="P348" s="4" t="s">
        <v>30</v>
      </c>
      <c r="Q348" s="4" t="s">
        <v>30</v>
      </c>
      <c r="R348" s="4">
        <v>1.7669999999999999E-3</v>
      </c>
      <c r="S348" s="4">
        <v>6.0049999999999999E-2</v>
      </c>
      <c r="T348" s="4">
        <v>1.42</v>
      </c>
    </row>
    <row r="349" spans="1:30" hidden="1" outlineLevel="1" collapsed="1" x14ac:dyDescent="0.2">
      <c r="A349" t="s">
        <v>34</v>
      </c>
      <c r="B349" s="4" t="s">
        <v>30</v>
      </c>
      <c r="C349" s="4" t="s">
        <v>627</v>
      </c>
      <c r="D349" s="4" t="s">
        <v>34</v>
      </c>
      <c r="E349" s="4">
        <v>0.208484</v>
      </c>
      <c r="F349" s="4">
        <v>9.5666499999999995E-3</v>
      </c>
      <c r="G349" s="4">
        <v>1</v>
      </c>
      <c r="H349" s="4">
        <v>1</v>
      </c>
      <c r="I349" s="4">
        <v>1</v>
      </c>
      <c r="J349" s="4">
        <v>1</v>
      </c>
      <c r="K349" s="4" t="s">
        <v>605</v>
      </c>
      <c r="L349" s="4" t="s">
        <v>628</v>
      </c>
      <c r="M349" s="4" t="s">
        <v>34</v>
      </c>
      <c r="N349" s="4">
        <v>0</v>
      </c>
      <c r="O349" s="4">
        <v>843.46829000000002</v>
      </c>
      <c r="P349" s="4" t="s">
        <v>30</v>
      </c>
      <c r="Q349" s="4" t="s">
        <v>30</v>
      </c>
      <c r="R349" s="4">
        <v>4.1380000000000002E-3</v>
      </c>
      <c r="S349" s="4">
        <v>0.11169999999999999</v>
      </c>
      <c r="T349" s="4">
        <v>1.33</v>
      </c>
    </row>
    <row r="350" spans="1:30" collapsed="1" x14ac:dyDescent="0.2">
      <c r="A350" s="3" t="s">
        <v>30</v>
      </c>
      <c r="B350" s="3" t="s">
        <v>31</v>
      </c>
      <c r="C350" s="3" t="s">
        <v>629</v>
      </c>
      <c r="D350" s="3" t="s">
        <v>630</v>
      </c>
      <c r="E350" s="3">
        <v>0</v>
      </c>
      <c r="F350" s="3">
        <v>13.397</v>
      </c>
      <c r="G350" s="3">
        <v>19</v>
      </c>
      <c r="H350" s="3">
        <v>11</v>
      </c>
      <c r="I350" s="3">
        <v>11</v>
      </c>
      <c r="J350" s="3">
        <v>16</v>
      </c>
      <c r="K350" s="3">
        <v>9</v>
      </c>
      <c r="L350" s="3">
        <v>578</v>
      </c>
      <c r="M350" s="3">
        <v>61.8</v>
      </c>
      <c r="N350" s="3">
        <v>5.97</v>
      </c>
      <c r="O350" s="3">
        <v>14.55</v>
      </c>
      <c r="P350" s="3">
        <v>11</v>
      </c>
      <c r="Q350" s="3" t="s">
        <v>34</v>
      </c>
      <c r="R350" s="3" t="s">
        <v>34</v>
      </c>
      <c r="S350" s="3" t="s">
        <v>34</v>
      </c>
      <c r="T350" s="3" t="s">
        <v>34</v>
      </c>
      <c r="U350" s="3" t="s">
        <v>34</v>
      </c>
      <c r="V350" s="3" t="s">
        <v>629</v>
      </c>
      <c r="W350" s="3" t="s">
        <v>34</v>
      </c>
      <c r="X350" s="3" t="s">
        <v>34</v>
      </c>
      <c r="Y350" s="3" t="s">
        <v>34</v>
      </c>
      <c r="Z350" s="3" t="s">
        <v>34</v>
      </c>
      <c r="AA350" s="3">
        <v>0</v>
      </c>
      <c r="AB350" s="3" t="s">
        <v>30</v>
      </c>
      <c r="AC350" s="3">
        <v>1</v>
      </c>
      <c r="AD350" s="3" t="s">
        <v>34</v>
      </c>
    </row>
    <row r="351" spans="1:30" hidden="1" outlineLevel="1" collapsed="1" x14ac:dyDescent="0.2">
      <c r="A351" t="s">
        <v>34</v>
      </c>
      <c r="B351" s="2" t="s">
        <v>36</v>
      </c>
      <c r="C351" s="2" t="s">
        <v>37</v>
      </c>
      <c r="D351" s="2" t="s">
        <v>29</v>
      </c>
      <c r="E351" s="2" t="s">
        <v>38</v>
      </c>
      <c r="F351" s="2" t="s">
        <v>39</v>
      </c>
      <c r="G351" s="2" t="s">
        <v>28</v>
      </c>
      <c r="H351" s="2" t="s">
        <v>40</v>
      </c>
      <c r="I351" s="2" t="s">
        <v>8</v>
      </c>
      <c r="J351" s="2" t="s">
        <v>9</v>
      </c>
      <c r="K351" s="2" t="s">
        <v>41</v>
      </c>
      <c r="L351" s="2" t="s">
        <v>42</v>
      </c>
      <c r="M351" s="2" t="s">
        <v>43</v>
      </c>
      <c r="N351" s="2" t="s">
        <v>44</v>
      </c>
      <c r="O351" s="2" t="s">
        <v>45</v>
      </c>
      <c r="P351" s="2" t="s">
        <v>27</v>
      </c>
      <c r="Q351" s="2" t="s">
        <v>46</v>
      </c>
      <c r="R351" s="2" t="s">
        <v>47</v>
      </c>
      <c r="S351" s="2" t="s">
        <v>48</v>
      </c>
      <c r="T351" s="2" t="s">
        <v>49</v>
      </c>
    </row>
    <row r="352" spans="1:30" hidden="1" outlineLevel="1" collapsed="1" x14ac:dyDescent="0.2">
      <c r="A352" t="s">
        <v>34</v>
      </c>
      <c r="B352" s="4" t="s">
        <v>30</v>
      </c>
      <c r="C352" s="4" t="s">
        <v>631</v>
      </c>
      <c r="D352" s="4" t="s">
        <v>632</v>
      </c>
      <c r="E352" s="4">
        <v>0.17189499999999999</v>
      </c>
      <c r="F352" s="4">
        <v>9.5666499999999995E-3</v>
      </c>
      <c r="G352" s="4">
        <v>1</v>
      </c>
      <c r="H352" s="4">
        <v>1</v>
      </c>
      <c r="I352" s="4">
        <v>1</v>
      </c>
      <c r="J352" s="4">
        <v>1</v>
      </c>
      <c r="K352" s="4" t="s">
        <v>629</v>
      </c>
      <c r="L352" s="4" t="s">
        <v>633</v>
      </c>
      <c r="M352" s="4" t="s">
        <v>34</v>
      </c>
      <c r="N352" s="4">
        <v>0</v>
      </c>
      <c r="O352" s="4">
        <v>1104.57177</v>
      </c>
      <c r="P352" s="4" t="s">
        <v>30</v>
      </c>
      <c r="Q352" s="4" t="s">
        <v>30</v>
      </c>
      <c r="R352" s="4">
        <v>4.1380000000000002E-3</v>
      </c>
      <c r="S352" s="4">
        <v>8.8690000000000005E-2</v>
      </c>
      <c r="T352" s="4">
        <v>1.47</v>
      </c>
    </row>
    <row r="353" spans="1:30" hidden="1" outlineLevel="1" collapsed="1" x14ac:dyDescent="0.2">
      <c r="A353" t="s">
        <v>34</v>
      </c>
      <c r="B353" s="4" t="s">
        <v>30</v>
      </c>
      <c r="C353" s="4" t="s">
        <v>228</v>
      </c>
      <c r="D353" s="4" t="s">
        <v>34</v>
      </c>
      <c r="E353" s="4">
        <v>5.2784499999999998E-2</v>
      </c>
      <c r="F353" s="4">
        <v>3.7876699999999999E-3</v>
      </c>
      <c r="G353" s="4">
        <v>10</v>
      </c>
      <c r="H353" s="4">
        <v>22</v>
      </c>
      <c r="I353" s="4">
        <v>1</v>
      </c>
      <c r="J353" s="4">
        <v>4</v>
      </c>
      <c r="K353" s="4" t="s">
        <v>229</v>
      </c>
      <c r="L353" s="4" t="s">
        <v>230</v>
      </c>
      <c r="M353" s="4" t="s">
        <v>34</v>
      </c>
      <c r="N353" s="4">
        <v>0</v>
      </c>
      <c r="O353" s="4">
        <v>827.42978000000005</v>
      </c>
      <c r="P353" s="4" t="s">
        <v>30</v>
      </c>
      <c r="Q353" s="4" t="s">
        <v>30</v>
      </c>
      <c r="R353" s="4">
        <v>1.7669999999999999E-3</v>
      </c>
      <c r="S353" s="4">
        <v>2.2929999999999999E-2</v>
      </c>
      <c r="T353" s="4">
        <v>1.3</v>
      </c>
    </row>
    <row r="354" spans="1:30" hidden="1" outlineLevel="1" collapsed="1" x14ac:dyDescent="0.2">
      <c r="A354" t="s">
        <v>34</v>
      </c>
      <c r="B354" s="4" t="s">
        <v>30</v>
      </c>
      <c r="C354" s="4" t="s">
        <v>62</v>
      </c>
      <c r="D354" s="4" t="s">
        <v>34</v>
      </c>
      <c r="E354" s="4">
        <v>5.22841E-2</v>
      </c>
      <c r="F354" s="4">
        <v>3.7876699999999999E-3</v>
      </c>
      <c r="G354" s="4">
        <v>3</v>
      </c>
      <c r="H354" s="4">
        <v>4</v>
      </c>
      <c r="I354" s="4">
        <v>1</v>
      </c>
      <c r="J354" s="4">
        <v>1</v>
      </c>
      <c r="K354" s="4" t="s">
        <v>63</v>
      </c>
      <c r="L354" s="4" t="s">
        <v>64</v>
      </c>
      <c r="M354" s="4" t="s">
        <v>34</v>
      </c>
      <c r="N354" s="4">
        <v>0</v>
      </c>
      <c r="O354" s="4">
        <v>1475.7852700000001</v>
      </c>
      <c r="P354" s="4" t="s">
        <v>30</v>
      </c>
      <c r="Q354" s="4" t="s">
        <v>30</v>
      </c>
      <c r="R354" s="4">
        <v>1.7669999999999999E-3</v>
      </c>
      <c r="S354" s="4">
        <v>2.2710000000000001E-2</v>
      </c>
      <c r="T354" s="4">
        <v>2.21</v>
      </c>
    </row>
    <row r="355" spans="1:30" hidden="1" outlineLevel="1" collapsed="1" x14ac:dyDescent="0.2">
      <c r="A355" t="s">
        <v>34</v>
      </c>
      <c r="B355" s="4" t="s">
        <v>30</v>
      </c>
      <c r="C355" s="4" t="s">
        <v>634</v>
      </c>
      <c r="D355" s="4" t="s">
        <v>34</v>
      </c>
      <c r="E355" s="4">
        <v>0.21029200000000001</v>
      </c>
      <c r="F355" s="4">
        <v>9.5666499999999995E-3</v>
      </c>
      <c r="G355" s="4">
        <v>1</v>
      </c>
      <c r="H355" s="4">
        <v>1</v>
      </c>
      <c r="I355" s="4">
        <v>1</v>
      </c>
      <c r="J355" s="4">
        <v>1</v>
      </c>
      <c r="K355" s="4" t="s">
        <v>629</v>
      </c>
      <c r="L355" s="4" t="s">
        <v>635</v>
      </c>
      <c r="M355" s="4" t="s">
        <v>34</v>
      </c>
      <c r="N355" s="4">
        <v>0</v>
      </c>
      <c r="O355" s="4">
        <v>1001.56259</v>
      </c>
      <c r="P355" s="4" t="s">
        <v>30</v>
      </c>
      <c r="Q355" s="4" t="s">
        <v>30</v>
      </c>
      <c r="R355" s="4">
        <v>4.1380000000000002E-3</v>
      </c>
      <c r="S355" s="4">
        <v>0.1128</v>
      </c>
      <c r="T355" s="4">
        <v>2.11</v>
      </c>
    </row>
    <row r="356" spans="1:30" hidden="1" outlineLevel="1" collapsed="1" x14ac:dyDescent="0.2">
      <c r="A356" t="s">
        <v>34</v>
      </c>
      <c r="B356" s="4" t="s">
        <v>30</v>
      </c>
      <c r="C356" s="4" t="s">
        <v>636</v>
      </c>
      <c r="D356" s="4" t="s">
        <v>177</v>
      </c>
      <c r="E356" s="4">
        <v>9.8388900000000001E-2</v>
      </c>
      <c r="F356" s="4">
        <v>3.7876699999999999E-3</v>
      </c>
      <c r="G356" s="4">
        <v>1</v>
      </c>
      <c r="H356" s="4">
        <v>1</v>
      </c>
      <c r="I356" s="4">
        <v>1</v>
      </c>
      <c r="J356" s="4">
        <v>1</v>
      </c>
      <c r="K356" s="4" t="s">
        <v>629</v>
      </c>
      <c r="L356" s="4" t="s">
        <v>637</v>
      </c>
      <c r="M356" s="4" t="s">
        <v>34</v>
      </c>
      <c r="N356" s="4">
        <v>0</v>
      </c>
      <c r="O356" s="4">
        <v>991.48770999999999</v>
      </c>
      <c r="P356" s="4" t="s">
        <v>30</v>
      </c>
      <c r="Q356" s="4" t="s">
        <v>30</v>
      </c>
      <c r="R356" s="4">
        <v>1.7669999999999999E-3</v>
      </c>
      <c r="S356" s="4">
        <v>4.675E-2</v>
      </c>
      <c r="T356" s="4">
        <v>1.98</v>
      </c>
    </row>
    <row r="357" spans="1:30" hidden="1" outlineLevel="1" collapsed="1" x14ac:dyDescent="0.2">
      <c r="A357" t="s">
        <v>34</v>
      </c>
      <c r="B357" s="4" t="s">
        <v>30</v>
      </c>
      <c r="C357" s="4" t="s">
        <v>638</v>
      </c>
      <c r="D357" s="4" t="s">
        <v>34</v>
      </c>
      <c r="E357" s="4">
        <v>5.0088899999999999E-2</v>
      </c>
      <c r="F357" s="4">
        <v>3.7876699999999999E-3</v>
      </c>
      <c r="G357" s="4">
        <v>1</v>
      </c>
      <c r="H357" s="4">
        <v>1</v>
      </c>
      <c r="I357" s="4">
        <v>1</v>
      </c>
      <c r="J357" s="4">
        <v>3</v>
      </c>
      <c r="K357" s="4" t="s">
        <v>629</v>
      </c>
      <c r="L357" s="4" t="s">
        <v>639</v>
      </c>
      <c r="M357" s="4" t="s">
        <v>34</v>
      </c>
      <c r="N357" s="4">
        <v>0</v>
      </c>
      <c r="O357" s="4">
        <v>1060.52693</v>
      </c>
      <c r="P357" s="4" t="s">
        <v>30</v>
      </c>
      <c r="Q357" s="4" t="s">
        <v>30</v>
      </c>
      <c r="R357" s="4">
        <v>1.7669999999999999E-3</v>
      </c>
      <c r="S357" s="4">
        <v>2.1649999999999999E-2</v>
      </c>
      <c r="T357" s="4">
        <v>1.06</v>
      </c>
    </row>
    <row r="358" spans="1:30" hidden="1" outlineLevel="1" collapsed="1" x14ac:dyDescent="0.2">
      <c r="A358" t="s">
        <v>34</v>
      </c>
      <c r="B358" s="4" t="s">
        <v>30</v>
      </c>
      <c r="C358" s="4" t="s">
        <v>640</v>
      </c>
      <c r="D358" s="4" t="s">
        <v>262</v>
      </c>
      <c r="E358" s="4">
        <v>0.20313800000000001</v>
      </c>
      <c r="F358" s="4">
        <v>9.5666499999999995E-3</v>
      </c>
      <c r="G358" s="4">
        <v>1</v>
      </c>
      <c r="H358" s="4">
        <v>1</v>
      </c>
      <c r="I358" s="4">
        <v>1</v>
      </c>
      <c r="J358" s="4">
        <v>1</v>
      </c>
      <c r="K358" s="4" t="s">
        <v>629</v>
      </c>
      <c r="L358" s="4" t="s">
        <v>641</v>
      </c>
      <c r="M358" s="4" t="s">
        <v>34</v>
      </c>
      <c r="N358" s="4">
        <v>0</v>
      </c>
      <c r="O358" s="4">
        <v>1305.6467299999999</v>
      </c>
      <c r="P358" s="4" t="s">
        <v>30</v>
      </c>
      <c r="Q358" s="4" t="s">
        <v>30</v>
      </c>
      <c r="R358" s="4">
        <v>4.1380000000000002E-3</v>
      </c>
      <c r="S358" s="4">
        <v>0.1081</v>
      </c>
      <c r="T358" s="4">
        <v>1.59</v>
      </c>
    </row>
    <row r="359" spans="1:30" hidden="1" outlineLevel="1" collapsed="1" x14ac:dyDescent="0.2">
      <c r="A359" t="s">
        <v>34</v>
      </c>
      <c r="B359" s="4" t="s">
        <v>30</v>
      </c>
      <c r="C359" s="4" t="s">
        <v>642</v>
      </c>
      <c r="D359" s="4" t="s">
        <v>34</v>
      </c>
      <c r="E359" s="4">
        <v>0.247145</v>
      </c>
      <c r="F359" s="4">
        <v>9.5666499999999995E-3</v>
      </c>
      <c r="G359" s="4">
        <v>1</v>
      </c>
      <c r="H359" s="4">
        <v>1</v>
      </c>
      <c r="I359" s="4">
        <v>1</v>
      </c>
      <c r="J359" s="4">
        <v>1</v>
      </c>
      <c r="K359" s="4" t="s">
        <v>629</v>
      </c>
      <c r="L359" s="4" t="s">
        <v>643</v>
      </c>
      <c r="M359" s="4" t="s">
        <v>34</v>
      </c>
      <c r="N359" s="4">
        <v>0</v>
      </c>
      <c r="O359" s="4">
        <v>966.50031999999999</v>
      </c>
      <c r="P359" s="4" t="s">
        <v>30</v>
      </c>
      <c r="Q359" s="4" t="s">
        <v>30</v>
      </c>
      <c r="R359" s="4">
        <v>4.1380000000000002E-3</v>
      </c>
      <c r="S359" s="4">
        <v>0.1366</v>
      </c>
      <c r="T359" s="4">
        <v>1.01</v>
      </c>
    </row>
    <row r="360" spans="1:30" hidden="1" outlineLevel="1" collapsed="1" x14ac:dyDescent="0.2">
      <c r="A360" t="s">
        <v>34</v>
      </c>
      <c r="B360" s="4" t="s">
        <v>30</v>
      </c>
      <c r="C360" s="4" t="s">
        <v>644</v>
      </c>
      <c r="D360" s="4" t="s">
        <v>442</v>
      </c>
      <c r="E360" s="4">
        <v>9.2590400000000003E-2</v>
      </c>
      <c r="F360" s="4">
        <v>3.7876699999999999E-3</v>
      </c>
      <c r="G360" s="4">
        <v>1</v>
      </c>
      <c r="H360" s="4">
        <v>1</v>
      </c>
      <c r="I360" s="4">
        <v>1</v>
      </c>
      <c r="J360" s="4">
        <v>1</v>
      </c>
      <c r="K360" s="4" t="s">
        <v>629</v>
      </c>
      <c r="L360" s="4" t="s">
        <v>645</v>
      </c>
      <c r="M360" s="4" t="s">
        <v>34</v>
      </c>
      <c r="N360" s="4">
        <v>0</v>
      </c>
      <c r="O360" s="4">
        <v>1229.5354400000001</v>
      </c>
      <c r="P360" s="4" t="s">
        <v>30</v>
      </c>
      <c r="Q360" s="4" t="s">
        <v>30</v>
      </c>
      <c r="R360" s="4">
        <v>1.7669999999999999E-3</v>
      </c>
      <c r="S360" s="4">
        <v>4.3400000000000001E-2</v>
      </c>
      <c r="T360" s="4">
        <v>2.5499999999999998</v>
      </c>
    </row>
    <row r="361" spans="1:30" hidden="1" outlineLevel="1" collapsed="1" x14ac:dyDescent="0.2">
      <c r="A361" t="s">
        <v>34</v>
      </c>
      <c r="B361" s="4" t="s">
        <v>30</v>
      </c>
      <c r="C361" s="4" t="s">
        <v>646</v>
      </c>
      <c r="D361" s="4" t="s">
        <v>34</v>
      </c>
      <c r="E361" s="4">
        <v>0.18532399999999999</v>
      </c>
      <c r="F361" s="4">
        <v>9.5666499999999995E-3</v>
      </c>
      <c r="G361" s="4">
        <v>1</v>
      </c>
      <c r="H361" s="4">
        <v>1</v>
      </c>
      <c r="I361" s="4">
        <v>1</v>
      </c>
      <c r="J361" s="4">
        <v>1</v>
      </c>
      <c r="K361" s="4" t="s">
        <v>629</v>
      </c>
      <c r="L361" s="4" t="s">
        <v>647</v>
      </c>
      <c r="M361" s="4" t="s">
        <v>34</v>
      </c>
      <c r="N361" s="4">
        <v>0</v>
      </c>
      <c r="O361" s="4">
        <v>1208.61574</v>
      </c>
      <c r="P361" s="4" t="s">
        <v>30</v>
      </c>
      <c r="Q361" s="4" t="s">
        <v>30</v>
      </c>
      <c r="R361" s="4">
        <v>4.1380000000000002E-3</v>
      </c>
      <c r="S361" s="4">
        <v>9.7250000000000003E-2</v>
      </c>
      <c r="T361" s="4">
        <v>1.82</v>
      </c>
    </row>
    <row r="362" spans="1:30" hidden="1" outlineLevel="1" collapsed="1" x14ac:dyDescent="0.2">
      <c r="A362" t="s">
        <v>34</v>
      </c>
      <c r="B362" s="4" t="s">
        <v>30</v>
      </c>
      <c r="C362" s="4" t="s">
        <v>648</v>
      </c>
      <c r="D362" s="4" t="s">
        <v>34</v>
      </c>
      <c r="E362" s="4">
        <v>0.22426599999999999</v>
      </c>
      <c r="F362" s="4">
        <v>9.5666499999999995E-3</v>
      </c>
      <c r="G362" s="4">
        <v>1</v>
      </c>
      <c r="H362" s="4">
        <v>1</v>
      </c>
      <c r="I362" s="4">
        <v>1</v>
      </c>
      <c r="J362" s="4">
        <v>1</v>
      </c>
      <c r="K362" s="4" t="s">
        <v>629</v>
      </c>
      <c r="L362" s="4" t="s">
        <v>649</v>
      </c>
      <c r="M362" s="4" t="s">
        <v>34</v>
      </c>
      <c r="N362" s="4">
        <v>0</v>
      </c>
      <c r="O362" s="4">
        <v>1335.7154599999999</v>
      </c>
      <c r="P362" s="4" t="s">
        <v>30</v>
      </c>
      <c r="Q362" s="4" t="s">
        <v>30</v>
      </c>
      <c r="R362" s="4">
        <v>4.1380000000000002E-3</v>
      </c>
      <c r="S362" s="4">
        <v>0.12189999999999999</v>
      </c>
      <c r="T362" s="4">
        <v>1.6</v>
      </c>
    </row>
    <row r="363" spans="1:30" collapsed="1" x14ac:dyDescent="0.2">
      <c r="A363" s="3" t="s">
        <v>30</v>
      </c>
      <c r="B363" s="3" t="s">
        <v>31</v>
      </c>
      <c r="C363" s="3" t="s">
        <v>650</v>
      </c>
      <c r="D363" s="3" t="s">
        <v>651</v>
      </c>
      <c r="E363" s="3">
        <v>0</v>
      </c>
      <c r="F363" s="3">
        <v>13.260999999999999</v>
      </c>
      <c r="G363" s="3">
        <v>10</v>
      </c>
      <c r="H363" s="3">
        <v>8</v>
      </c>
      <c r="I363" s="3">
        <v>8</v>
      </c>
      <c r="J363" s="3">
        <v>12</v>
      </c>
      <c r="K363" s="3">
        <v>3</v>
      </c>
      <c r="L363" s="3">
        <v>608</v>
      </c>
      <c r="M363" s="3">
        <v>65</v>
      </c>
      <c r="N363" s="3">
        <v>8.25</v>
      </c>
      <c r="O363" s="3">
        <v>11.87</v>
      </c>
      <c r="P363" s="3">
        <v>8</v>
      </c>
      <c r="Q363" s="3" t="s">
        <v>34</v>
      </c>
      <c r="R363" s="3" t="s">
        <v>34</v>
      </c>
      <c r="S363" s="3" t="s">
        <v>34</v>
      </c>
      <c r="T363" s="3" t="s">
        <v>34</v>
      </c>
      <c r="U363" s="3" t="s">
        <v>34</v>
      </c>
      <c r="V363" s="3" t="s">
        <v>650</v>
      </c>
      <c r="W363" s="3" t="s">
        <v>34</v>
      </c>
      <c r="X363" s="3" t="s">
        <v>34</v>
      </c>
      <c r="Y363" s="3" t="s">
        <v>34</v>
      </c>
      <c r="Z363" s="3" t="s">
        <v>34</v>
      </c>
      <c r="AA363" s="3">
        <v>0</v>
      </c>
      <c r="AB363" s="3" t="s">
        <v>30</v>
      </c>
      <c r="AC363" s="3">
        <v>1</v>
      </c>
      <c r="AD363" s="3" t="s">
        <v>34</v>
      </c>
    </row>
    <row r="364" spans="1:30" hidden="1" outlineLevel="1" collapsed="1" x14ac:dyDescent="0.2">
      <c r="A364" t="s">
        <v>34</v>
      </c>
      <c r="B364" s="2" t="s">
        <v>36</v>
      </c>
      <c r="C364" s="2" t="s">
        <v>37</v>
      </c>
      <c r="D364" s="2" t="s">
        <v>29</v>
      </c>
      <c r="E364" s="2" t="s">
        <v>38</v>
      </c>
      <c r="F364" s="2" t="s">
        <v>39</v>
      </c>
      <c r="G364" s="2" t="s">
        <v>28</v>
      </c>
      <c r="H364" s="2" t="s">
        <v>40</v>
      </c>
      <c r="I364" s="2" t="s">
        <v>8</v>
      </c>
      <c r="J364" s="2" t="s">
        <v>9</v>
      </c>
      <c r="K364" s="2" t="s">
        <v>41</v>
      </c>
      <c r="L364" s="2" t="s">
        <v>42</v>
      </c>
      <c r="M364" s="2" t="s">
        <v>43</v>
      </c>
      <c r="N364" s="2" t="s">
        <v>44</v>
      </c>
      <c r="O364" s="2" t="s">
        <v>45</v>
      </c>
      <c r="P364" s="2" t="s">
        <v>27</v>
      </c>
      <c r="Q364" s="2" t="s">
        <v>46</v>
      </c>
      <c r="R364" s="2" t="s">
        <v>47</v>
      </c>
      <c r="S364" s="2" t="s">
        <v>48</v>
      </c>
      <c r="T364" s="2" t="s">
        <v>49</v>
      </c>
    </row>
    <row r="365" spans="1:30" hidden="1" outlineLevel="1" collapsed="1" x14ac:dyDescent="0.2">
      <c r="A365" t="s">
        <v>34</v>
      </c>
      <c r="B365" s="4" t="s">
        <v>30</v>
      </c>
      <c r="C365" s="4" t="s">
        <v>545</v>
      </c>
      <c r="D365" s="4" t="s">
        <v>34</v>
      </c>
      <c r="E365" s="4">
        <v>7.2211300000000001E-3</v>
      </c>
      <c r="F365" s="4">
        <v>3.7876699999999999E-3</v>
      </c>
      <c r="G365" s="4">
        <v>4</v>
      </c>
      <c r="H365" s="4">
        <v>7</v>
      </c>
      <c r="I365" s="4">
        <v>1</v>
      </c>
      <c r="J365" s="4">
        <v>1</v>
      </c>
      <c r="K365" s="4" t="s">
        <v>546</v>
      </c>
      <c r="L365" s="4" t="s">
        <v>547</v>
      </c>
      <c r="M365" s="4" t="s">
        <v>34</v>
      </c>
      <c r="N365" s="4">
        <v>0</v>
      </c>
      <c r="O365" s="4">
        <v>1123.5629799999999</v>
      </c>
      <c r="P365" s="4" t="s">
        <v>30</v>
      </c>
      <c r="Q365" s="4" t="s">
        <v>30</v>
      </c>
      <c r="R365" s="4">
        <v>1.7669999999999999E-3</v>
      </c>
      <c r="S365" s="4">
        <v>2.4650000000000002E-3</v>
      </c>
      <c r="T365" s="4">
        <v>1.85</v>
      </c>
    </row>
    <row r="366" spans="1:30" hidden="1" outlineLevel="1" collapsed="1" x14ac:dyDescent="0.2">
      <c r="A366" t="s">
        <v>34</v>
      </c>
      <c r="B366" s="4" t="s">
        <v>30</v>
      </c>
      <c r="C366" s="4" t="s">
        <v>218</v>
      </c>
      <c r="D366" s="4" t="s">
        <v>34</v>
      </c>
      <c r="E366" s="4">
        <v>3.4643399999999998E-2</v>
      </c>
      <c r="F366" s="4">
        <v>3.7876699999999999E-3</v>
      </c>
      <c r="G366" s="4">
        <v>4</v>
      </c>
      <c r="H366" s="4">
        <v>7</v>
      </c>
      <c r="I366" s="4">
        <v>1</v>
      </c>
      <c r="J366" s="4">
        <v>2</v>
      </c>
      <c r="K366" s="4" t="s">
        <v>219</v>
      </c>
      <c r="L366" s="4" t="s">
        <v>220</v>
      </c>
      <c r="M366" s="4" t="s">
        <v>34</v>
      </c>
      <c r="N366" s="4">
        <v>0</v>
      </c>
      <c r="O366" s="4">
        <v>1107.5429099999999</v>
      </c>
      <c r="P366" s="4" t="s">
        <v>30</v>
      </c>
      <c r="Q366" s="4" t="s">
        <v>30</v>
      </c>
      <c r="R366" s="4">
        <v>1.7669999999999999E-3</v>
      </c>
      <c r="S366" s="4">
        <v>1.43E-2</v>
      </c>
      <c r="T366" s="4">
        <v>2.1</v>
      </c>
    </row>
    <row r="367" spans="1:30" hidden="1" outlineLevel="1" collapsed="1" x14ac:dyDescent="0.2">
      <c r="A367" t="s">
        <v>34</v>
      </c>
      <c r="B367" s="4" t="s">
        <v>30</v>
      </c>
      <c r="C367" s="4" t="s">
        <v>652</v>
      </c>
      <c r="D367" s="4" t="s">
        <v>61</v>
      </c>
      <c r="E367" s="4">
        <v>0.243038</v>
      </c>
      <c r="F367" s="4">
        <v>9.5666499999999995E-3</v>
      </c>
      <c r="G367" s="4">
        <v>1</v>
      </c>
      <c r="H367" s="4">
        <v>2</v>
      </c>
      <c r="I367" s="4">
        <v>1</v>
      </c>
      <c r="J367" s="4">
        <v>1</v>
      </c>
      <c r="K367" s="4" t="s">
        <v>650</v>
      </c>
      <c r="L367" s="4" t="s">
        <v>653</v>
      </c>
      <c r="M367" s="4" t="s">
        <v>34</v>
      </c>
      <c r="N367" s="4">
        <v>0</v>
      </c>
      <c r="O367" s="4">
        <v>1142.5398</v>
      </c>
      <c r="P367" s="4" t="s">
        <v>30</v>
      </c>
      <c r="Q367" s="4" t="s">
        <v>30</v>
      </c>
      <c r="R367" s="4">
        <v>4.1380000000000002E-3</v>
      </c>
      <c r="S367" s="4">
        <v>0.13389999999999999</v>
      </c>
      <c r="T367" s="4">
        <v>1.63</v>
      </c>
    </row>
    <row r="368" spans="1:30" hidden="1" outlineLevel="1" collapsed="1" x14ac:dyDescent="0.2">
      <c r="A368" t="s">
        <v>34</v>
      </c>
      <c r="B368" s="4" t="s">
        <v>30</v>
      </c>
      <c r="C368" s="4" t="s">
        <v>228</v>
      </c>
      <c r="D368" s="4" t="s">
        <v>34</v>
      </c>
      <c r="E368" s="4">
        <v>5.2784499999999998E-2</v>
      </c>
      <c r="F368" s="4">
        <v>3.7876699999999999E-3</v>
      </c>
      <c r="G368" s="4">
        <v>10</v>
      </c>
      <c r="H368" s="4">
        <v>22</v>
      </c>
      <c r="I368" s="4">
        <v>1</v>
      </c>
      <c r="J368" s="4">
        <v>4</v>
      </c>
      <c r="K368" s="4" t="s">
        <v>229</v>
      </c>
      <c r="L368" s="4" t="s">
        <v>230</v>
      </c>
      <c r="M368" s="4" t="s">
        <v>34</v>
      </c>
      <c r="N368" s="4">
        <v>0</v>
      </c>
      <c r="O368" s="4">
        <v>827.42978000000005</v>
      </c>
      <c r="P368" s="4" t="s">
        <v>30</v>
      </c>
      <c r="Q368" s="4" t="s">
        <v>30</v>
      </c>
      <c r="R368" s="4">
        <v>1.7669999999999999E-3</v>
      </c>
      <c r="S368" s="4">
        <v>2.2929999999999999E-2</v>
      </c>
      <c r="T368" s="4">
        <v>1.3</v>
      </c>
    </row>
    <row r="369" spans="1:30" hidden="1" outlineLevel="1" collapsed="1" x14ac:dyDescent="0.2">
      <c r="A369" t="s">
        <v>34</v>
      </c>
      <c r="B369" s="4" t="s">
        <v>30</v>
      </c>
      <c r="C369" s="4" t="s">
        <v>654</v>
      </c>
      <c r="D369" s="4" t="s">
        <v>34</v>
      </c>
      <c r="E369" s="4">
        <v>9.3460600000000005E-2</v>
      </c>
      <c r="F369" s="4">
        <v>3.7876699999999999E-3</v>
      </c>
      <c r="G369" s="4">
        <v>1</v>
      </c>
      <c r="H369" s="4">
        <v>1</v>
      </c>
      <c r="I369" s="4">
        <v>1</v>
      </c>
      <c r="J369" s="4">
        <v>1</v>
      </c>
      <c r="K369" s="4" t="s">
        <v>650</v>
      </c>
      <c r="L369" s="4" t="s">
        <v>655</v>
      </c>
      <c r="M369" s="4" t="s">
        <v>34</v>
      </c>
      <c r="N369" s="4">
        <v>0</v>
      </c>
      <c r="O369" s="4">
        <v>931.48433999999997</v>
      </c>
      <c r="P369" s="4" t="s">
        <v>30</v>
      </c>
      <c r="Q369" s="4" t="s">
        <v>30</v>
      </c>
      <c r="R369" s="4">
        <v>1.7669999999999999E-3</v>
      </c>
      <c r="S369" s="4">
        <v>4.394E-2</v>
      </c>
      <c r="T369" s="4">
        <v>1.46</v>
      </c>
    </row>
    <row r="370" spans="1:30" hidden="1" outlineLevel="1" collapsed="1" x14ac:dyDescent="0.2">
      <c r="A370" t="s">
        <v>34</v>
      </c>
      <c r="B370" s="4" t="s">
        <v>30</v>
      </c>
      <c r="C370" s="4" t="s">
        <v>553</v>
      </c>
      <c r="D370" s="4" t="s">
        <v>34</v>
      </c>
      <c r="E370" s="4">
        <v>5.0088899999999999E-2</v>
      </c>
      <c r="F370" s="4">
        <v>3.7876699999999999E-3</v>
      </c>
      <c r="G370" s="4">
        <v>3</v>
      </c>
      <c r="H370" s="4">
        <v>6</v>
      </c>
      <c r="I370" s="4">
        <v>1</v>
      </c>
      <c r="J370" s="4">
        <v>1</v>
      </c>
      <c r="K370" s="4" t="s">
        <v>554</v>
      </c>
      <c r="L370" s="4" t="s">
        <v>555</v>
      </c>
      <c r="M370" s="4" t="s">
        <v>34</v>
      </c>
      <c r="N370" s="4">
        <v>1</v>
      </c>
      <c r="O370" s="4">
        <v>1338.6899699999999</v>
      </c>
      <c r="P370" s="4" t="s">
        <v>30</v>
      </c>
      <c r="Q370" s="4" t="s">
        <v>30</v>
      </c>
      <c r="R370" s="4">
        <v>1.7669999999999999E-3</v>
      </c>
      <c r="S370" s="4">
        <v>2.1659999999999999E-2</v>
      </c>
      <c r="T370" s="4">
        <v>2.4</v>
      </c>
    </row>
    <row r="371" spans="1:30" hidden="1" outlineLevel="1" collapsed="1" x14ac:dyDescent="0.2">
      <c r="A371" t="s">
        <v>34</v>
      </c>
      <c r="B371" s="4" t="s">
        <v>30</v>
      </c>
      <c r="C371" s="4" t="s">
        <v>656</v>
      </c>
      <c r="D371" s="4" t="s">
        <v>442</v>
      </c>
      <c r="E371" s="4">
        <v>5.2784499999999998E-2</v>
      </c>
      <c r="F371" s="4">
        <v>3.7876699999999999E-3</v>
      </c>
      <c r="G371" s="4">
        <v>1</v>
      </c>
      <c r="H371" s="4">
        <v>1</v>
      </c>
      <c r="I371" s="4">
        <v>1</v>
      </c>
      <c r="J371" s="4">
        <v>1</v>
      </c>
      <c r="K371" s="4" t="s">
        <v>650</v>
      </c>
      <c r="L371" s="4" t="s">
        <v>657</v>
      </c>
      <c r="M371" s="4" t="s">
        <v>34</v>
      </c>
      <c r="N371" s="4">
        <v>0</v>
      </c>
      <c r="O371" s="4">
        <v>1215.5197900000001</v>
      </c>
      <c r="P371" s="4" t="s">
        <v>30</v>
      </c>
      <c r="Q371" s="4" t="s">
        <v>30</v>
      </c>
      <c r="R371" s="4">
        <v>1.7669999999999999E-3</v>
      </c>
      <c r="S371" s="4">
        <v>2.2890000000000001E-2</v>
      </c>
      <c r="T371" s="4">
        <v>1.51</v>
      </c>
    </row>
    <row r="372" spans="1:30" hidden="1" outlineLevel="1" collapsed="1" x14ac:dyDescent="0.2">
      <c r="A372" t="s">
        <v>34</v>
      </c>
      <c r="B372" s="4" t="s">
        <v>30</v>
      </c>
      <c r="C372" s="4" t="s">
        <v>594</v>
      </c>
      <c r="D372" s="4" t="s">
        <v>34</v>
      </c>
      <c r="E372" s="4">
        <v>5.3289499999999997E-2</v>
      </c>
      <c r="F372" s="4">
        <v>3.7876699999999999E-3</v>
      </c>
      <c r="G372" s="4">
        <v>2</v>
      </c>
      <c r="H372" s="4">
        <v>3</v>
      </c>
      <c r="I372" s="4">
        <v>1</v>
      </c>
      <c r="J372" s="4">
        <v>1</v>
      </c>
      <c r="K372" s="4" t="s">
        <v>595</v>
      </c>
      <c r="L372" s="4" t="s">
        <v>596</v>
      </c>
      <c r="M372" s="4" t="s">
        <v>34</v>
      </c>
      <c r="N372" s="4">
        <v>1</v>
      </c>
      <c r="O372" s="4">
        <v>1080.5320099999999</v>
      </c>
      <c r="P372" s="4" t="s">
        <v>30</v>
      </c>
      <c r="Q372" s="4" t="s">
        <v>30</v>
      </c>
      <c r="R372" s="4">
        <v>1.7669999999999999E-3</v>
      </c>
      <c r="S372" s="4">
        <v>2.324E-2</v>
      </c>
      <c r="T372" s="4">
        <v>1.8</v>
      </c>
    </row>
    <row r="373" spans="1:30" collapsed="1" x14ac:dyDescent="0.2">
      <c r="A373" s="3" t="s">
        <v>30</v>
      </c>
      <c r="B373" s="3" t="s">
        <v>31</v>
      </c>
      <c r="C373" s="3" t="s">
        <v>216</v>
      </c>
      <c r="D373" s="3" t="s">
        <v>658</v>
      </c>
      <c r="E373" s="3">
        <v>0</v>
      </c>
      <c r="F373" s="3">
        <v>12.815</v>
      </c>
      <c r="G373" s="3">
        <v>25</v>
      </c>
      <c r="H373" s="3">
        <v>4</v>
      </c>
      <c r="I373" s="3">
        <v>4</v>
      </c>
      <c r="J373" s="3">
        <v>99</v>
      </c>
      <c r="K373" s="3">
        <v>4</v>
      </c>
      <c r="L373" s="3">
        <v>231</v>
      </c>
      <c r="M373" s="3">
        <v>24.4</v>
      </c>
      <c r="N373" s="3">
        <v>7.18</v>
      </c>
      <c r="O373" s="3">
        <v>86.09</v>
      </c>
      <c r="P373" s="3">
        <v>4</v>
      </c>
      <c r="Q373" s="3" t="s">
        <v>659</v>
      </c>
      <c r="R373" s="3" t="s">
        <v>660</v>
      </c>
      <c r="S373" s="3" t="s">
        <v>561</v>
      </c>
      <c r="T373" s="3" t="s">
        <v>661</v>
      </c>
      <c r="U373" s="3" t="s">
        <v>34</v>
      </c>
      <c r="V373" s="3" t="s">
        <v>216</v>
      </c>
      <c r="W373" s="3" t="s">
        <v>34</v>
      </c>
      <c r="X373" s="3" t="s">
        <v>34</v>
      </c>
      <c r="Y373" s="3" t="s">
        <v>34</v>
      </c>
      <c r="Z373" s="3" t="s">
        <v>34</v>
      </c>
      <c r="AA373" s="3">
        <v>0</v>
      </c>
      <c r="AB373" s="3" t="s">
        <v>30</v>
      </c>
      <c r="AC373" s="3">
        <v>1</v>
      </c>
      <c r="AD373" s="3" t="s">
        <v>34</v>
      </c>
    </row>
    <row r="374" spans="1:30" hidden="1" outlineLevel="1" collapsed="1" x14ac:dyDescent="0.2">
      <c r="A374" t="s">
        <v>34</v>
      </c>
      <c r="B374" s="2" t="s">
        <v>36</v>
      </c>
      <c r="C374" s="2" t="s">
        <v>37</v>
      </c>
      <c r="D374" s="2" t="s">
        <v>29</v>
      </c>
      <c r="E374" s="2" t="s">
        <v>38</v>
      </c>
      <c r="F374" s="2" t="s">
        <v>39</v>
      </c>
      <c r="G374" s="2" t="s">
        <v>28</v>
      </c>
      <c r="H374" s="2" t="s">
        <v>40</v>
      </c>
      <c r="I374" s="2" t="s">
        <v>8</v>
      </c>
      <c r="J374" s="2" t="s">
        <v>9</v>
      </c>
      <c r="K374" s="2" t="s">
        <v>41</v>
      </c>
      <c r="L374" s="2" t="s">
        <v>42</v>
      </c>
      <c r="M374" s="2" t="s">
        <v>43</v>
      </c>
      <c r="N374" s="2" t="s">
        <v>44</v>
      </c>
      <c r="O374" s="2" t="s">
        <v>45</v>
      </c>
      <c r="P374" s="2" t="s">
        <v>27</v>
      </c>
      <c r="Q374" s="2" t="s">
        <v>46</v>
      </c>
      <c r="R374" s="2" t="s">
        <v>47</v>
      </c>
      <c r="S374" s="2" t="s">
        <v>48</v>
      </c>
      <c r="T374" s="2" t="s">
        <v>49</v>
      </c>
    </row>
    <row r="375" spans="1:30" hidden="1" outlineLevel="1" collapsed="1" x14ac:dyDescent="0.2">
      <c r="A375" t="s">
        <v>34</v>
      </c>
      <c r="B375" s="4" t="s">
        <v>30</v>
      </c>
      <c r="C375" s="4" t="s">
        <v>662</v>
      </c>
      <c r="D375" s="4" t="s">
        <v>34</v>
      </c>
      <c r="E375" s="4">
        <v>1.56007E-3</v>
      </c>
      <c r="F375" s="4">
        <v>3.7876699999999999E-3</v>
      </c>
      <c r="G375" s="4">
        <v>1</v>
      </c>
      <c r="H375" s="4">
        <v>1</v>
      </c>
      <c r="I375" s="4">
        <v>1</v>
      </c>
      <c r="J375" s="4">
        <v>7</v>
      </c>
      <c r="K375" s="4" t="s">
        <v>216</v>
      </c>
      <c r="L375" s="4" t="s">
        <v>663</v>
      </c>
      <c r="M375" s="4" t="s">
        <v>34</v>
      </c>
      <c r="N375" s="4">
        <v>0</v>
      </c>
      <c r="O375" s="4">
        <v>2211.1040400000002</v>
      </c>
      <c r="P375" s="4" t="s">
        <v>30</v>
      </c>
      <c r="Q375" s="4" t="s">
        <v>30</v>
      </c>
      <c r="R375" s="4">
        <v>1.7669999999999999E-3</v>
      </c>
      <c r="S375" s="4">
        <v>4.459E-4</v>
      </c>
      <c r="T375" s="4">
        <v>5.34</v>
      </c>
    </row>
    <row r="376" spans="1:30" hidden="1" outlineLevel="1" collapsed="1" x14ac:dyDescent="0.2">
      <c r="A376" t="s">
        <v>34</v>
      </c>
      <c r="B376" s="4" t="s">
        <v>30</v>
      </c>
      <c r="C376" s="4" t="s">
        <v>664</v>
      </c>
      <c r="D376" s="4" t="s">
        <v>665</v>
      </c>
      <c r="E376" s="4">
        <v>4.80519E-3</v>
      </c>
      <c r="F376" s="4">
        <v>3.7876699999999999E-3</v>
      </c>
      <c r="G376" s="4">
        <v>1</v>
      </c>
      <c r="H376" s="4">
        <v>1</v>
      </c>
      <c r="I376" s="4">
        <v>1</v>
      </c>
      <c r="J376" s="4">
        <v>2</v>
      </c>
      <c r="K376" s="4" t="s">
        <v>216</v>
      </c>
      <c r="L376" s="4" t="s">
        <v>666</v>
      </c>
      <c r="M376" s="4" t="s">
        <v>34</v>
      </c>
      <c r="N376" s="4">
        <v>0</v>
      </c>
      <c r="O376" s="4">
        <v>2299.1750900000002</v>
      </c>
      <c r="P376" s="4" t="s">
        <v>30</v>
      </c>
      <c r="Q376" s="4" t="s">
        <v>30</v>
      </c>
      <c r="R376" s="4">
        <v>1.7669999999999999E-3</v>
      </c>
      <c r="S376" s="4">
        <v>1.5679999999999999E-3</v>
      </c>
      <c r="T376" s="4">
        <v>3.55</v>
      </c>
    </row>
    <row r="377" spans="1:30" hidden="1" outlineLevel="1" collapsed="1" x14ac:dyDescent="0.2">
      <c r="A377" t="s">
        <v>34</v>
      </c>
      <c r="B377" s="4" t="s">
        <v>30</v>
      </c>
      <c r="C377" s="4" t="s">
        <v>667</v>
      </c>
      <c r="D377" s="4" t="s">
        <v>34</v>
      </c>
      <c r="E377" s="4">
        <v>1.2921500000000001E-2</v>
      </c>
      <c r="F377" s="4">
        <v>3.7876699999999999E-3</v>
      </c>
      <c r="G377" s="4">
        <v>1</v>
      </c>
      <c r="H377" s="4">
        <v>1</v>
      </c>
      <c r="I377" s="4">
        <v>1</v>
      </c>
      <c r="J377" s="4">
        <v>27</v>
      </c>
      <c r="K377" s="4" t="s">
        <v>216</v>
      </c>
      <c r="L377" s="4" t="s">
        <v>668</v>
      </c>
      <c r="M377" s="4" t="s">
        <v>34</v>
      </c>
      <c r="N377" s="4">
        <v>0</v>
      </c>
      <c r="O377" s="4">
        <v>1045.5636500000001</v>
      </c>
      <c r="P377" s="4" t="s">
        <v>30</v>
      </c>
      <c r="Q377" s="4" t="s">
        <v>30</v>
      </c>
      <c r="R377" s="4">
        <v>1.7669999999999999E-3</v>
      </c>
      <c r="S377" s="4">
        <v>4.7260000000000002E-3</v>
      </c>
      <c r="T377" s="4">
        <v>1.95</v>
      </c>
    </row>
    <row r="378" spans="1:30" hidden="1" outlineLevel="1" collapsed="1" x14ac:dyDescent="0.2">
      <c r="A378" t="s">
        <v>34</v>
      </c>
      <c r="B378" s="4" t="s">
        <v>30</v>
      </c>
      <c r="C378" s="4" t="s">
        <v>669</v>
      </c>
      <c r="D378" s="4" t="s">
        <v>34</v>
      </c>
      <c r="E378" s="4">
        <v>2.6581199999999999E-2</v>
      </c>
      <c r="F378" s="4">
        <v>3.7876699999999999E-3</v>
      </c>
      <c r="G378" s="4">
        <v>1</v>
      </c>
      <c r="H378" s="4">
        <v>1</v>
      </c>
      <c r="I378" s="4">
        <v>1</v>
      </c>
      <c r="J378" s="4">
        <v>63</v>
      </c>
      <c r="K378" s="4" t="s">
        <v>216</v>
      </c>
      <c r="L378" s="4" t="s">
        <v>670</v>
      </c>
      <c r="M378" s="4" t="s">
        <v>34</v>
      </c>
      <c r="N378" s="4">
        <v>0</v>
      </c>
      <c r="O378" s="4">
        <v>842.50942999999995</v>
      </c>
      <c r="P378" s="4" t="s">
        <v>30</v>
      </c>
      <c r="Q378" s="4" t="s">
        <v>30</v>
      </c>
      <c r="R378" s="4">
        <v>1.7669999999999999E-3</v>
      </c>
      <c r="S378" s="4">
        <v>1.06E-2</v>
      </c>
      <c r="T378" s="4">
        <v>1.36</v>
      </c>
    </row>
    <row r="379" spans="1:30" collapsed="1" x14ac:dyDescent="0.2">
      <c r="A379" s="3" t="s">
        <v>30</v>
      </c>
      <c r="B379" s="3" t="s">
        <v>31</v>
      </c>
      <c r="C379" s="3" t="s">
        <v>671</v>
      </c>
      <c r="D379" s="3" t="s">
        <v>672</v>
      </c>
      <c r="E379" s="3">
        <v>0</v>
      </c>
      <c r="F379" s="3">
        <v>12.113</v>
      </c>
      <c r="G379" s="3">
        <v>13</v>
      </c>
      <c r="H379" s="3">
        <v>7</v>
      </c>
      <c r="I379" s="3">
        <v>7</v>
      </c>
      <c r="J379" s="3">
        <v>27</v>
      </c>
      <c r="K379" s="3">
        <v>1</v>
      </c>
      <c r="L379" s="3">
        <v>456</v>
      </c>
      <c r="M379" s="3">
        <v>49.1</v>
      </c>
      <c r="N379" s="3">
        <v>4.7699999999999996</v>
      </c>
      <c r="O379" s="3">
        <v>14.82</v>
      </c>
      <c r="P379" s="3">
        <v>7</v>
      </c>
      <c r="Q379" s="3" t="s">
        <v>34</v>
      </c>
      <c r="R379" s="3" t="s">
        <v>34</v>
      </c>
      <c r="S379" s="3" t="s">
        <v>34</v>
      </c>
      <c r="T379" s="3" t="s">
        <v>34</v>
      </c>
      <c r="U379" s="3" t="s">
        <v>34</v>
      </c>
      <c r="V379" s="3" t="s">
        <v>671</v>
      </c>
      <c r="W379" s="3" t="s">
        <v>34</v>
      </c>
      <c r="X379" s="3" t="s">
        <v>34</v>
      </c>
      <c r="Y379" s="3" t="s">
        <v>34</v>
      </c>
      <c r="Z379" s="3" t="s">
        <v>34</v>
      </c>
      <c r="AA379" s="3">
        <v>0</v>
      </c>
      <c r="AB379" s="3" t="s">
        <v>30</v>
      </c>
      <c r="AC379" s="3">
        <v>1</v>
      </c>
      <c r="AD379" s="3" t="s">
        <v>34</v>
      </c>
    </row>
    <row r="380" spans="1:30" hidden="1" outlineLevel="1" collapsed="1" x14ac:dyDescent="0.2">
      <c r="A380" t="s">
        <v>34</v>
      </c>
      <c r="B380" s="2" t="s">
        <v>36</v>
      </c>
      <c r="C380" s="2" t="s">
        <v>37</v>
      </c>
      <c r="D380" s="2" t="s">
        <v>29</v>
      </c>
      <c r="E380" s="2" t="s">
        <v>38</v>
      </c>
      <c r="F380" s="2" t="s">
        <v>39</v>
      </c>
      <c r="G380" s="2" t="s">
        <v>28</v>
      </c>
      <c r="H380" s="2" t="s">
        <v>40</v>
      </c>
      <c r="I380" s="2" t="s">
        <v>8</v>
      </c>
      <c r="J380" s="2" t="s">
        <v>9</v>
      </c>
      <c r="K380" s="2" t="s">
        <v>41</v>
      </c>
      <c r="L380" s="2" t="s">
        <v>42</v>
      </c>
      <c r="M380" s="2" t="s">
        <v>43</v>
      </c>
      <c r="N380" s="2" t="s">
        <v>44</v>
      </c>
      <c r="O380" s="2" t="s">
        <v>45</v>
      </c>
      <c r="P380" s="2" t="s">
        <v>27</v>
      </c>
      <c r="Q380" s="2" t="s">
        <v>46</v>
      </c>
      <c r="R380" s="2" t="s">
        <v>47</v>
      </c>
      <c r="S380" s="2" t="s">
        <v>48</v>
      </c>
      <c r="T380" s="2" t="s">
        <v>49</v>
      </c>
    </row>
    <row r="381" spans="1:30" hidden="1" outlineLevel="1" collapsed="1" x14ac:dyDescent="0.2">
      <c r="A381" t="s">
        <v>34</v>
      </c>
      <c r="B381" s="4" t="s">
        <v>30</v>
      </c>
      <c r="C381" s="4" t="s">
        <v>385</v>
      </c>
      <c r="D381" s="4" t="s">
        <v>34</v>
      </c>
      <c r="E381" s="4">
        <v>1.18415E-2</v>
      </c>
      <c r="F381" s="4">
        <v>3.7876699999999999E-3</v>
      </c>
      <c r="G381" s="4">
        <v>4</v>
      </c>
      <c r="H381" s="4">
        <v>7</v>
      </c>
      <c r="I381" s="4">
        <v>1</v>
      </c>
      <c r="J381" s="4">
        <v>4</v>
      </c>
      <c r="K381" s="4" t="s">
        <v>386</v>
      </c>
      <c r="L381" s="4" t="s">
        <v>387</v>
      </c>
      <c r="M381" s="4" t="s">
        <v>34</v>
      </c>
      <c r="N381" s="4">
        <v>0</v>
      </c>
      <c r="O381" s="4">
        <v>1301.65834</v>
      </c>
      <c r="P381" s="4" t="s">
        <v>30</v>
      </c>
      <c r="Q381" s="4" t="s">
        <v>30</v>
      </c>
      <c r="R381" s="4">
        <v>1.7669999999999999E-3</v>
      </c>
      <c r="S381" s="4">
        <v>4.2839999999999996E-3</v>
      </c>
      <c r="T381" s="4">
        <v>2.48</v>
      </c>
    </row>
    <row r="382" spans="1:30" hidden="1" outlineLevel="1" collapsed="1" x14ac:dyDescent="0.2">
      <c r="A382" t="s">
        <v>34</v>
      </c>
      <c r="B382" s="4" t="s">
        <v>30</v>
      </c>
      <c r="C382" s="4" t="s">
        <v>673</v>
      </c>
      <c r="D382" s="4" t="s">
        <v>396</v>
      </c>
      <c r="E382" s="4">
        <v>0.243038</v>
      </c>
      <c r="F382" s="4">
        <v>9.5666499999999995E-3</v>
      </c>
      <c r="G382" s="4">
        <v>1</v>
      </c>
      <c r="H382" s="4">
        <v>2</v>
      </c>
      <c r="I382" s="4">
        <v>1</v>
      </c>
      <c r="J382" s="4">
        <v>1</v>
      </c>
      <c r="K382" s="4" t="s">
        <v>671</v>
      </c>
      <c r="L382" s="4" t="s">
        <v>674</v>
      </c>
      <c r="M382" s="4" t="s">
        <v>34</v>
      </c>
      <c r="N382" s="4">
        <v>0</v>
      </c>
      <c r="O382" s="4">
        <v>1445.5671600000001</v>
      </c>
      <c r="P382" s="4" t="s">
        <v>30</v>
      </c>
      <c r="Q382" s="4" t="s">
        <v>30</v>
      </c>
      <c r="R382" s="4">
        <v>4.1380000000000002E-3</v>
      </c>
      <c r="S382" s="4">
        <v>0.1343</v>
      </c>
      <c r="T382" s="4">
        <v>0.83</v>
      </c>
    </row>
    <row r="383" spans="1:30" hidden="1" outlineLevel="1" collapsed="1" x14ac:dyDescent="0.2">
      <c r="A383" t="s">
        <v>34</v>
      </c>
      <c r="B383" s="4" t="s">
        <v>30</v>
      </c>
      <c r="C383" s="4" t="s">
        <v>287</v>
      </c>
      <c r="D383" s="4" t="s">
        <v>34</v>
      </c>
      <c r="E383" s="4">
        <v>3.83188E-2</v>
      </c>
      <c r="F383" s="4">
        <v>3.7876699999999999E-3</v>
      </c>
      <c r="G383" s="4">
        <v>7</v>
      </c>
      <c r="H383" s="4">
        <v>27</v>
      </c>
      <c r="I383" s="4">
        <v>1</v>
      </c>
      <c r="J383" s="4">
        <v>13</v>
      </c>
      <c r="K383" s="4" t="s">
        <v>288</v>
      </c>
      <c r="L383" s="4" t="s">
        <v>289</v>
      </c>
      <c r="M383" s="4" t="s">
        <v>34</v>
      </c>
      <c r="N383" s="4">
        <v>0</v>
      </c>
      <c r="O383" s="4">
        <v>807.39954</v>
      </c>
      <c r="P383" s="4" t="s">
        <v>30</v>
      </c>
      <c r="Q383" s="4" t="s">
        <v>30</v>
      </c>
      <c r="R383" s="4">
        <v>1.7669999999999999E-3</v>
      </c>
      <c r="S383" s="4">
        <v>1.5970000000000002E-2</v>
      </c>
      <c r="T383" s="4">
        <v>1.35</v>
      </c>
    </row>
    <row r="384" spans="1:30" hidden="1" outlineLevel="1" collapsed="1" x14ac:dyDescent="0.2">
      <c r="A384" t="s">
        <v>34</v>
      </c>
      <c r="B384" s="4" t="s">
        <v>30</v>
      </c>
      <c r="C384" s="4" t="s">
        <v>290</v>
      </c>
      <c r="D384" s="4" t="s">
        <v>34</v>
      </c>
      <c r="E384" s="4">
        <v>6.4436499999999994E-2</v>
      </c>
      <c r="F384" s="4">
        <v>3.7876699999999999E-3</v>
      </c>
      <c r="G384" s="4">
        <v>6</v>
      </c>
      <c r="H384" s="4">
        <v>14</v>
      </c>
      <c r="I384" s="4">
        <v>1</v>
      </c>
      <c r="J384" s="4">
        <v>6</v>
      </c>
      <c r="K384" s="4" t="s">
        <v>291</v>
      </c>
      <c r="L384" s="4" t="s">
        <v>292</v>
      </c>
      <c r="M384" s="4" t="s">
        <v>34</v>
      </c>
      <c r="N384" s="4">
        <v>0</v>
      </c>
      <c r="O384" s="4">
        <v>809.44034999999997</v>
      </c>
      <c r="P384" s="4" t="s">
        <v>30</v>
      </c>
      <c r="Q384" s="4" t="s">
        <v>30</v>
      </c>
      <c r="R384" s="4">
        <v>1.7669999999999999E-3</v>
      </c>
      <c r="S384" s="4">
        <v>2.8740000000000002E-2</v>
      </c>
      <c r="T384" s="4">
        <v>1.0900000000000001</v>
      </c>
    </row>
    <row r="385" spans="1:30" hidden="1" outlineLevel="1" collapsed="1" x14ac:dyDescent="0.2">
      <c r="A385" t="s">
        <v>34</v>
      </c>
      <c r="B385" s="4" t="s">
        <v>30</v>
      </c>
      <c r="C385" s="4" t="s">
        <v>293</v>
      </c>
      <c r="D385" s="4" t="s">
        <v>34</v>
      </c>
      <c r="E385" s="4">
        <v>0.108998</v>
      </c>
      <c r="F385" s="4">
        <v>3.7876699999999999E-3</v>
      </c>
      <c r="G385" s="4">
        <v>5</v>
      </c>
      <c r="H385" s="4">
        <v>11</v>
      </c>
      <c r="I385" s="4">
        <v>1</v>
      </c>
      <c r="J385" s="4">
        <v>1</v>
      </c>
      <c r="K385" s="4" t="s">
        <v>294</v>
      </c>
      <c r="L385" s="4" t="s">
        <v>295</v>
      </c>
      <c r="M385" s="4" t="s">
        <v>34</v>
      </c>
      <c r="N385" s="4">
        <v>1</v>
      </c>
      <c r="O385" s="4">
        <v>1064.60987</v>
      </c>
      <c r="P385" s="4" t="s">
        <v>30</v>
      </c>
      <c r="Q385" s="4" t="s">
        <v>30</v>
      </c>
      <c r="R385" s="4">
        <v>1.7669999999999999E-3</v>
      </c>
      <c r="S385" s="4">
        <v>5.2560000000000003E-2</v>
      </c>
      <c r="T385" s="4">
        <v>1.46</v>
      </c>
    </row>
    <row r="386" spans="1:30" hidden="1" outlineLevel="1" collapsed="1" x14ac:dyDescent="0.2">
      <c r="A386" t="s">
        <v>34</v>
      </c>
      <c r="B386" s="4" t="s">
        <v>30</v>
      </c>
      <c r="C386" s="4" t="s">
        <v>407</v>
      </c>
      <c r="D386" s="4" t="s">
        <v>34</v>
      </c>
      <c r="E386" s="4">
        <v>2.07748E-2</v>
      </c>
      <c r="F386" s="4">
        <v>3.7876699999999999E-3</v>
      </c>
      <c r="G386" s="4">
        <v>5</v>
      </c>
      <c r="H386" s="4">
        <v>10</v>
      </c>
      <c r="I386" s="4">
        <v>1</v>
      </c>
      <c r="J386" s="4">
        <v>1</v>
      </c>
      <c r="K386" s="4" t="s">
        <v>408</v>
      </c>
      <c r="L386" s="4" t="s">
        <v>409</v>
      </c>
      <c r="M386" s="4" t="s">
        <v>34</v>
      </c>
      <c r="N386" s="4">
        <v>0</v>
      </c>
      <c r="O386" s="4">
        <v>1122.5789600000001</v>
      </c>
      <c r="P386" s="4" t="s">
        <v>30</v>
      </c>
      <c r="Q386" s="4" t="s">
        <v>30</v>
      </c>
      <c r="R386" s="4">
        <v>1.7669999999999999E-3</v>
      </c>
      <c r="S386" s="4">
        <v>8.0569999999999999E-3</v>
      </c>
      <c r="T386" s="4">
        <v>2.4</v>
      </c>
    </row>
    <row r="387" spans="1:30" hidden="1" outlineLevel="1" collapsed="1" x14ac:dyDescent="0.2">
      <c r="A387" t="s">
        <v>34</v>
      </c>
      <c r="B387" s="4" t="s">
        <v>30</v>
      </c>
      <c r="C387" s="4" t="s">
        <v>418</v>
      </c>
      <c r="D387" s="4" t="s">
        <v>34</v>
      </c>
      <c r="E387" s="4">
        <v>1.81412E-2</v>
      </c>
      <c r="F387" s="4">
        <v>3.7876699999999999E-3</v>
      </c>
      <c r="G387" s="4">
        <v>4</v>
      </c>
      <c r="H387" s="4">
        <v>8</v>
      </c>
      <c r="I387" s="4">
        <v>1</v>
      </c>
      <c r="J387" s="4">
        <v>1</v>
      </c>
      <c r="K387" s="4" t="s">
        <v>419</v>
      </c>
      <c r="L387" s="4" t="s">
        <v>420</v>
      </c>
      <c r="M387" s="4" t="s">
        <v>34</v>
      </c>
      <c r="N387" s="4">
        <v>0</v>
      </c>
      <c r="O387" s="4">
        <v>1029.5938900000001</v>
      </c>
      <c r="P387" s="4" t="s">
        <v>30</v>
      </c>
      <c r="Q387" s="4" t="s">
        <v>30</v>
      </c>
      <c r="R387" s="4">
        <v>1.7669999999999999E-3</v>
      </c>
      <c r="S387" s="4">
        <v>6.8910000000000004E-3</v>
      </c>
      <c r="T387" s="4">
        <v>2.13</v>
      </c>
    </row>
    <row r="388" spans="1:30" collapsed="1" x14ac:dyDescent="0.2">
      <c r="A388" s="3" t="s">
        <v>30</v>
      </c>
      <c r="B388" s="3" t="s">
        <v>31</v>
      </c>
      <c r="C388" s="3" t="s">
        <v>675</v>
      </c>
      <c r="D388" s="3" t="s">
        <v>676</v>
      </c>
      <c r="E388" s="3">
        <v>0</v>
      </c>
      <c r="F388" s="3">
        <v>12.013999999999999</v>
      </c>
      <c r="G388" s="3">
        <v>12</v>
      </c>
      <c r="H388" s="3">
        <v>7</v>
      </c>
      <c r="I388" s="3">
        <v>7</v>
      </c>
      <c r="J388" s="3">
        <v>8</v>
      </c>
      <c r="K388" s="3">
        <v>4</v>
      </c>
      <c r="L388" s="3">
        <v>521</v>
      </c>
      <c r="M388" s="3">
        <v>56.9</v>
      </c>
      <c r="N388" s="3">
        <v>6.02</v>
      </c>
      <c r="O388" s="3">
        <v>8.9700000000000006</v>
      </c>
      <c r="P388" s="3">
        <v>7</v>
      </c>
      <c r="Q388" s="3" t="s">
        <v>34</v>
      </c>
      <c r="R388" s="3" t="s">
        <v>34</v>
      </c>
      <c r="S388" s="3" t="s">
        <v>34</v>
      </c>
      <c r="T388" s="3" t="s">
        <v>34</v>
      </c>
      <c r="U388" s="3" t="s">
        <v>34</v>
      </c>
      <c r="V388" s="3" t="s">
        <v>675</v>
      </c>
      <c r="W388" s="3" t="s">
        <v>34</v>
      </c>
      <c r="X388" s="3" t="s">
        <v>34</v>
      </c>
      <c r="Y388" s="3" t="s">
        <v>34</v>
      </c>
      <c r="Z388" s="3" t="s">
        <v>34</v>
      </c>
      <c r="AA388" s="3">
        <v>0</v>
      </c>
      <c r="AB388" s="3" t="s">
        <v>30</v>
      </c>
      <c r="AC388" s="3">
        <v>1</v>
      </c>
      <c r="AD388" s="3" t="s">
        <v>34</v>
      </c>
    </row>
    <row r="389" spans="1:30" hidden="1" outlineLevel="1" collapsed="1" x14ac:dyDescent="0.2">
      <c r="A389" t="s">
        <v>34</v>
      </c>
      <c r="B389" s="2" t="s">
        <v>36</v>
      </c>
      <c r="C389" s="2" t="s">
        <v>37</v>
      </c>
      <c r="D389" s="2" t="s">
        <v>29</v>
      </c>
      <c r="E389" s="2" t="s">
        <v>38</v>
      </c>
      <c r="F389" s="2" t="s">
        <v>39</v>
      </c>
      <c r="G389" s="2" t="s">
        <v>28</v>
      </c>
      <c r="H389" s="2" t="s">
        <v>40</v>
      </c>
      <c r="I389" s="2" t="s">
        <v>8</v>
      </c>
      <c r="J389" s="2" t="s">
        <v>9</v>
      </c>
      <c r="K389" s="2" t="s">
        <v>41</v>
      </c>
      <c r="L389" s="2" t="s">
        <v>42</v>
      </c>
      <c r="M389" s="2" t="s">
        <v>43</v>
      </c>
      <c r="N389" s="2" t="s">
        <v>44</v>
      </c>
      <c r="O389" s="2" t="s">
        <v>45</v>
      </c>
      <c r="P389" s="2" t="s">
        <v>27</v>
      </c>
      <c r="Q389" s="2" t="s">
        <v>46</v>
      </c>
      <c r="R389" s="2" t="s">
        <v>47</v>
      </c>
      <c r="S389" s="2" t="s">
        <v>48</v>
      </c>
      <c r="T389" s="2" t="s">
        <v>49</v>
      </c>
    </row>
    <row r="390" spans="1:30" hidden="1" outlineLevel="1" collapsed="1" x14ac:dyDescent="0.2">
      <c r="A390" t="s">
        <v>34</v>
      </c>
      <c r="B390" s="4" t="s">
        <v>30</v>
      </c>
      <c r="C390" s="4" t="s">
        <v>545</v>
      </c>
      <c r="D390" s="4" t="s">
        <v>34</v>
      </c>
      <c r="E390" s="4">
        <v>7.2211300000000001E-3</v>
      </c>
      <c r="F390" s="4">
        <v>3.7876699999999999E-3</v>
      </c>
      <c r="G390" s="4">
        <v>4</v>
      </c>
      <c r="H390" s="4">
        <v>7</v>
      </c>
      <c r="I390" s="4">
        <v>1</v>
      </c>
      <c r="J390" s="4">
        <v>1</v>
      </c>
      <c r="K390" s="4" t="s">
        <v>546</v>
      </c>
      <c r="L390" s="4" t="s">
        <v>547</v>
      </c>
      <c r="M390" s="4" t="s">
        <v>34</v>
      </c>
      <c r="N390" s="4">
        <v>0</v>
      </c>
      <c r="O390" s="4">
        <v>1123.5629799999999</v>
      </c>
      <c r="P390" s="4" t="s">
        <v>30</v>
      </c>
      <c r="Q390" s="4" t="s">
        <v>30</v>
      </c>
      <c r="R390" s="4">
        <v>1.7669999999999999E-3</v>
      </c>
      <c r="S390" s="4">
        <v>2.4650000000000002E-3</v>
      </c>
      <c r="T390" s="4">
        <v>1.85</v>
      </c>
    </row>
    <row r="391" spans="1:30" hidden="1" outlineLevel="1" collapsed="1" x14ac:dyDescent="0.2">
      <c r="A391" t="s">
        <v>34</v>
      </c>
      <c r="B391" s="4" t="s">
        <v>30</v>
      </c>
      <c r="C391" s="4" t="s">
        <v>677</v>
      </c>
      <c r="D391" s="4" t="s">
        <v>34</v>
      </c>
      <c r="E391" s="4">
        <v>6.9831699999999997E-2</v>
      </c>
      <c r="F391" s="4">
        <v>3.7876699999999999E-3</v>
      </c>
      <c r="G391" s="4">
        <v>1</v>
      </c>
      <c r="H391" s="4">
        <v>1</v>
      </c>
      <c r="I391" s="4">
        <v>1</v>
      </c>
      <c r="J391" s="4">
        <v>1</v>
      </c>
      <c r="K391" s="4" t="s">
        <v>675</v>
      </c>
      <c r="L391" s="4" t="s">
        <v>678</v>
      </c>
      <c r="M391" s="4" t="s">
        <v>34</v>
      </c>
      <c r="N391" s="4">
        <v>0</v>
      </c>
      <c r="O391" s="4">
        <v>979.50949000000003</v>
      </c>
      <c r="P391" s="4" t="s">
        <v>30</v>
      </c>
      <c r="Q391" s="4" t="s">
        <v>30</v>
      </c>
      <c r="R391" s="4">
        <v>1.7669999999999999E-3</v>
      </c>
      <c r="S391" s="4">
        <v>3.1480000000000001E-2</v>
      </c>
      <c r="T391" s="4">
        <v>1.71</v>
      </c>
    </row>
    <row r="392" spans="1:30" hidden="1" outlineLevel="1" collapsed="1" x14ac:dyDescent="0.2">
      <c r="A392" t="s">
        <v>34</v>
      </c>
      <c r="B392" s="4" t="s">
        <v>30</v>
      </c>
      <c r="C392" s="4" t="s">
        <v>432</v>
      </c>
      <c r="D392" s="4" t="s">
        <v>34</v>
      </c>
      <c r="E392" s="4">
        <v>0.108998</v>
      </c>
      <c r="F392" s="4">
        <v>3.7876699999999999E-3</v>
      </c>
      <c r="G392" s="4">
        <v>7</v>
      </c>
      <c r="H392" s="4">
        <v>22</v>
      </c>
      <c r="I392" s="4">
        <v>1</v>
      </c>
      <c r="J392" s="4">
        <v>1</v>
      </c>
      <c r="K392" s="4" t="s">
        <v>433</v>
      </c>
      <c r="L392" s="4" t="s">
        <v>434</v>
      </c>
      <c r="M392" s="4" t="s">
        <v>34</v>
      </c>
      <c r="N392" s="4">
        <v>0</v>
      </c>
      <c r="O392" s="4">
        <v>906.46795999999995</v>
      </c>
      <c r="P392" s="4" t="s">
        <v>30</v>
      </c>
      <c r="Q392" s="4" t="s">
        <v>30</v>
      </c>
      <c r="R392" s="4">
        <v>1.7669999999999999E-3</v>
      </c>
      <c r="S392" s="4">
        <v>5.2359999999999997E-2</v>
      </c>
      <c r="T392" s="4">
        <v>1.41</v>
      </c>
    </row>
    <row r="393" spans="1:30" hidden="1" outlineLevel="1" collapsed="1" x14ac:dyDescent="0.2">
      <c r="A393" t="s">
        <v>34</v>
      </c>
      <c r="B393" s="4" t="s">
        <v>30</v>
      </c>
      <c r="C393" s="4" t="s">
        <v>245</v>
      </c>
      <c r="D393" s="4" t="s">
        <v>148</v>
      </c>
      <c r="E393" s="4">
        <v>0.104048</v>
      </c>
      <c r="F393" s="4">
        <v>3.7876699999999999E-3</v>
      </c>
      <c r="G393" s="4">
        <v>6</v>
      </c>
      <c r="H393" s="4">
        <v>13</v>
      </c>
      <c r="I393" s="4">
        <v>1</v>
      </c>
      <c r="J393" s="4">
        <v>1</v>
      </c>
      <c r="K393" s="4" t="s">
        <v>246</v>
      </c>
      <c r="L393" s="4" t="s">
        <v>247</v>
      </c>
      <c r="M393" s="4" t="s">
        <v>34</v>
      </c>
      <c r="N393" s="4">
        <v>0</v>
      </c>
      <c r="O393" s="4">
        <v>1005.4669699999999</v>
      </c>
      <c r="P393" s="4" t="s">
        <v>30</v>
      </c>
      <c r="Q393" s="4" t="s">
        <v>30</v>
      </c>
      <c r="R393" s="4">
        <v>1.7669999999999999E-3</v>
      </c>
      <c r="S393" s="4">
        <v>4.972E-2</v>
      </c>
      <c r="T393" s="4">
        <v>1.21</v>
      </c>
    </row>
    <row r="394" spans="1:30" hidden="1" outlineLevel="1" collapsed="1" x14ac:dyDescent="0.2">
      <c r="A394" t="s">
        <v>34</v>
      </c>
      <c r="B394" s="4" t="s">
        <v>30</v>
      </c>
      <c r="C394" s="4" t="s">
        <v>679</v>
      </c>
      <c r="D394" s="4" t="s">
        <v>34</v>
      </c>
      <c r="E394" s="4">
        <v>2.7895E-2</v>
      </c>
      <c r="F394" s="4">
        <v>3.7876699999999999E-3</v>
      </c>
      <c r="G394" s="4">
        <v>1</v>
      </c>
      <c r="H394" s="4">
        <v>1</v>
      </c>
      <c r="I394" s="4">
        <v>1</v>
      </c>
      <c r="J394" s="4">
        <v>1</v>
      </c>
      <c r="K394" s="4" t="s">
        <v>675</v>
      </c>
      <c r="L394" s="4" t="s">
        <v>680</v>
      </c>
      <c r="M394" s="4" t="s">
        <v>34</v>
      </c>
      <c r="N394" s="4">
        <v>0</v>
      </c>
      <c r="O394" s="4">
        <v>1100.5694599999999</v>
      </c>
      <c r="P394" s="4" t="s">
        <v>30</v>
      </c>
      <c r="Q394" s="4" t="s">
        <v>30</v>
      </c>
      <c r="R394" s="4">
        <v>1.7669999999999999E-3</v>
      </c>
      <c r="S394" s="4">
        <v>1.12E-2</v>
      </c>
      <c r="T394" s="4">
        <v>2.06</v>
      </c>
    </row>
    <row r="395" spans="1:30" hidden="1" outlineLevel="1" collapsed="1" x14ac:dyDescent="0.2">
      <c r="A395" t="s">
        <v>34</v>
      </c>
      <c r="B395" s="4" t="s">
        <v>30</v>
      </c>
      <c r="C395" s="4" t="s">
        <v>681</v>
      </c>
      <c r="D395" s="4" t="s">
        <v>34</v>
      </c>
      <c r="E395" s="4">
        <v>9.1299699999999998E-2</v>
      </c>
      <c r="F395" s="4">
        <v>3.7876699999999999E-3</v>
      </c>
      <c r="G395" s="4">
        <v>1</v>
      </c>
      <c r="H395" s="4">
        <v>1</v>
      </c>
      <c r="I395" s="4">
        <v>1</v>
      </c>
      <c r="J395" s="4">
        <v>1</v>
      </c>
      <c r="K395" s="4" t="s">
        <v>675</v>
      </c>
      <c r="L395" s="4" t="s">
        <v>682</v>
      </c>
      <c r="M395" s="4" t="s">
        <v>34</v>
      </c>
      <c r="N395" s="4">
        <v>0</v>
      </c>
      <c r="O395" s="4">
        <v>1004.50071</v>
      </c>
      <c r="P395" s="4" t="s">
        <v>30</v>
      </c>
      <c r="Q395" s="4" t="s">
        <v>30</v>
      </c>
      <c r="R395" s="4">
        <v>1.7669999999999999E-3</v>
      </c>
      <c r="S395" s="4">
        <v>4.2909999999999997E-2</v>
      </c>
      <c r="T395" s="4">
        <v>1.75</v>
      </c>
    </row>
    <row r="396" spans="1:30" hidden="1" outlineLevel="1" collapsed="1" x14ac:dyDescent="0.2">
      <c r="A396" t="s">
        <v>34</v>
      </c>
      <c r="B396" s="4" t="s">
        <v>30</v>
      </c>
      <c r="C396" s="4" t="s">
        <v>683</v>
      </c>
      <c r="D396" s="4" t="s">
        <v>34</v>
      </c>
      <c r="E396" s="4">
        <v>2.52065E-2</v>
      </c>
      <c r="F396" s="4">
        <v>3.7876699999999999E-3</v>
      </c>
      <c r="G396" s="4">
        <v>1</v>
      </c>
      <c r="H396" s="4">
        <v>1</v>
      </c>
      <c r="I396" s="4">
        <v>1</v>
      </c>
      <c r="J396" s="4">
        <v>2</v>
      </c>
      <c r="K396" s="4" t="s">
        <v>675</v>
      </c>
      <c r="L396" s="4" t="s">
        <v>684</v>
      </c>
      <c r="M396" s="4" t="s">
        <v>34</v>
      </c>
      <c r="N396" s="4">
        <v>0</v>
      </c>
      <c r="O396" s="4">
        <v>1015.54185</v>
      </c>
      <c r="P396" s="4" t="s">
        <v>30</v>
      </c>
      <c r="Q396" s="4" t="s">
        <v>30</v>
      </c>
      <c r="R396" s="4">
        <v>1.7669999999999999E-3</v>
      </c>
      <c r="S396" s="4">
        <v>9.9839999999999998E-3</v>
      </c>
      <c r="T396" s="4">
        <v>1.6</v>
      </c>
    </row>
    <row r="397" spans="1:30" collapsed="1" x14ac:dyDescent="0.2">
      <c r="A397" s="3" t="s">
        <v>30</v>
      </c>
      <c r="B397" s="3" t="s">
        <v>31</v>
      </c>
      <c r="C397" s="3" t="s">
        <v>685</v>
      </c>
      <c r="D397" s="3" t="s">
        <v>686</v>
      </c>
      <c r="E397" s="3">
        <v>0</v>
      </c>
      <c r="F397" s="3">
        <v>10.922000000000001</v>
      </c>
      <c r="G397" s="3">
        <v>7</v>
      </c>
      <c r="H397" s="3">
        <v>5</v>
      </c>
      <c r="I397" s="3">
        <v>5</v>
      </c>
      <c r="J397" s="3">
        <v>10</v>
      </c>
      <c r="K397" s="3">
        <v>1</v>
      </c>
      <c r="L397" s="3">
        <v>511</v>
      </c>
      <c r="M397" s="3">
        <v>55.8</v>
      </c>
      <c r="N397" s="3">
        <v>6.89</v>
      </c>
      <c r="O397" s="3">
        <v>11.16</v>
      </c>
      <c r="P397" s="3">
        <v>5</v>
      </c>
      <c r="Q397" s="3" t="s">
        <v>336</v>
      </c>
      <c r="R397" s="3" t="s">
        <v>337</v>
      </c>
      <c r="S397" s="3" t="s">
        <v>579</v>
      </c>
      <c r="T397" s="3" t="s">
        <v>580</v>
      </c>
      <c r="U397" s="3" t="s">
        <v>687</v>
      </c>
      <c r="V397" s="3" t="s">
        <v>688</v>
      </c>
      <c r="W397" s="3" t="s">
        <v>689</v>
      </c>
      <c r="X397" s="3" t="s">
        <v>690</v>
      </c>
      <c r="Y397" s="3" t="s">
        <v>344</v>
      </c>
      <c r="Z397" s="3" t="s">
        <v>34</v>
      </c>
      <c r="AA397" s="3">
        <v>2</v>
      </c>
      <c r="AB397" s="3" t="s">
        <v>30</v>
      </c>
      <c r="AC397" s="3">
        <v>1</v>
      </c>
      <c r="AD397" s="3" t="s">
        <v>34</v>
      </c>
    </row>
    <row r="398" spans="1:30" hidden="1" outlineLevel="1" collapsed="1" x14ac:dyDescent="0.2">
      <c r="A398" t="s">
        <v>34</v>
      </c>
      <c r="B398" s="2" t="s">
        <v>36</v>
      </c>
      <c r="C398" s="2" t="s">
        <v>37</v>
      </c>
      <c r="D398" s="2" t="s">
        <v>29</v>
      </c>
      <c r="E398" s="2" t="s">
        <v>38</v>
      </c>
      <c r="F398" s="2" t="s">
        <v>39</v>
      </c>
      <c r="G398" s="2" t="s">
        <v>28</v>
      </c>
      <c r="H398" s="2" t="s">
        <v>40</v>
      </c>
      <c r="I398" s="2" t="s">
        <v>8</v>
      </c>
      <c r="J398" s="2" t="s">
        <v>9</v>
      </c>
      <c r="K398" s="2" t="s">
        <v>41</v>
      </c>
      <c r="L398" s="2" t="s">
        <v>42</v>
      </c>
      <c r="M398" s="2" t="s">
        <v>43</v>
      </c>
      <c r="N398" s="2" t="s">
        <v>44</v>
      </c>
      <c r="O398" s="2" t="s">
        <v>45</v>
      </c>
      <c r="P398" s="2" t="s">
        <v>27</v>
      </c>
      <c r="Q398" s="2" t="s">
        <v>46</v>
      </c>
      <c r="R398" s="2" t="s">
        <v>47</v>
      </c>
      <c r="S398" s="2" t="s">
        <v>48</v>
      </c>
      <c r="T398" s="2" t="s">
        <v>49</v>
      </c>
    </row>
    <row r="399" spans="1:30" hidden="1" outlineLevel="1" collapsed="1" x14ac:dyDescent="0.2">
      <c r="A399" t="s">
        <v>34</v>
      </c>
      <c r="B399" s="4" t="s">
        <v>30</v>
      </c>
      <c r="C399" s="4" t="s">
        <v>691</v>
      </c>
      <c r="D399" s="4" t="s">
        <v>34</v>
      </c>
      <c r="E399" s="4">
        <v>5.58863E-2</v>
      </c>
      <c r="F399" s="4">
        <v>3.7876699999999999E-3</v>
      </c>
      <c r="G399" s="4">
        <v>1</v>
      </c>
      <c r="H399" s="4">
        <v>1</v>
      </c>
      <c r="I399" s="4">
        <v>1</v>
      </c>
      <c r="J399" s="4">
        <v>1</v>
      </c>
      <c r="K399" s="4" t="s">
        <v>685</v>
      </c>
      <c r="L399" s="4" t="s">
        <v>692</v>
      </c>
      <c r="M399" s="4" t="s">
        <v>34</v>
      </c>
      <c r="N399" s="4">
        <v>0</v>
      </c>
      <c r="O399" s="4">
        <v>1064.5622499999999</v>
      </c>
      <c r="P399" s="4" t="s">
        <v>30</v>
      </c>
      <c r="Q399" s="4" t="s">
        <v>30</v>
      </c>
      <c r="R399" s="4">
        <v>1.7669999999999999E-3</v>
      </c>
      <c r="S399" s="4">
        <v>2.4479999999999998E-2</v>
      </c>
      <c r="T399" s="4">
        <v>2.06</v>
      </c>
    </row>
    <row r="400" spans="1:30" hidden="1" outlineLevel="1" collapsed="1" x14ac:dyDescent="0.2">
      <c r="A400" t="s">
        <v>34</v>
      </c>
      <c r="B400" s="4" t="s">
        <v>30</v>
      </c>
      <c r="C400" s="4" t="s">
        <v>427</v>
      </c>
      <c r="D400" s="4" t="s">
        <v>58</v>
      </c>
      <c r="E400" s="4">
        <v>5.15421E-2</v>
      </c>
      <c r="F400" s="4">
        <v>3.7876699999999999E-3</v>
      </c>
      <c r="G400" s="4">
        <v>4</v>
      </c>
      <c r="H400" s="4">
        <v>8</v>
      </c>
      <c r="I400" s="4">
        <v>1</v>
      </c>
      <c r="J400" s="4">
        <v>1</v>
      </c>
      <c r="K400" s="4" t="s">
        <v>428</v>
      </c>
      <c r="L400" s="4" t="s">
        <v>429</v>
      </c>
      <c r="M400" s="4" t="s">
        <v>34</v>
      </c>
      <c r="N400" s="4">
        <v>0</v>
      </c>
      <c r="O400" s="4">
        <v>1042.45099</v>
      </c>
      <c r="P400" s="4" t="s">
        <v>30</v>
      </c>
      <c r="Q400" s="4" t="s">
        <v>30</v>
      </c>
      <c r="R400" s="4">
        <v>1.7669999999999999E-3</v>
      </c>
      <c r="S400" s="4">
        <v>2.239E-2</v>
      </c>
      <c r="T400" s="4">
        <v>1.5</v>
      </c>
    </row>
    <row r="401" spans="1:30" hidden="1" outlineLevel="1" collapsed="1" x14ac:dyDescent="0.2">
      <c r="A401" t="s">
        <v>34</v>
      </c>
      <c r="B401" s="4" t="s">
        <v>30</v>
      </c>
      <c r="C401" s="4" t="s">
        <v>228</v>
      </c>
      <c r="D401" s="4" t="s">
        <v>34</v>
      </c>
      <c r="E401" s="4">
        <v>5.2784499999999998E-2</v>
      </c>
      <c r="F401" s="4">
        <v>3.7876699999999999E-3</v>
      </c>
      <c r="G401" s="4">
        <v>10</v>
      </c>
      <c r="H401" s="4">
        <v>22</v>
      </c>
      <c r="I401" s="4">
        <v>1</v>
      </c>
      <c r="J401" s="4">
        <v>4</v>
      </c>
      <c r="K401" s="4" t="s">
        <v>229</v>
      </c>
      <c r="L401" s="4" t="s">
        <v>230</v>
      </c>
      <c r="M401" s="4" t="s">
        <v>34</v>
      </c>
      <c r="N401" s="4">
        <v>0</v>
      </c>
      <c r="O401" s="4">
        <v>827.42978000000005</v>
      </c>
      <c r="P401" s="4" t="s">
        <v>30</v>
      </c>
      <c r="Q401" s="4" t="s">
        <v>30</v>
      </c>
      <c r="R401" s="4">
        <v>1.7669999999999999E-3</v>
      </c>
      <c r="S401" s="4">
        <v>2.2929999999999999E-2</v>
      </c>
      <c r="T401" s="4">
        <v>1.3</v>
      </c>
    </row>
    <row r="402" spans="1:30" hidden="1" outlineLevel="1" collapsed="1" x14ac:dyDescent="0.2">
      <c r="A402" t="s">
        <v>34</v>
      </c>
      <c r="B402" s="4" t="s">
        <v>30</v>
      </c>
      <c r="C402" s="4" t="s">
        <v>587</v>
      </c>
      <c r="D402" s="4" t="s">
        <v>34</v>
      </c>
      <c r="E402" s="4">
        <v>3.0461899999999998E-3</v>
      </c>
      <c r="F402" s="4">
        <v>3.7876699999999999E-3</v>
      </c>
      <c r="G402" s="4">
        <v>2</v>
      </c>
      <c r="H402" s="4">
        <v>5</v>
      </c>
      <c r="I402" s="4">
        <v>1</v>
      </c>
      <c r="J402" s="4">
        <v>3</v>
      </c>
      <c r="K402" s="4" t="s">
        <v>588</v>
      </c>
      <c r="L402" s="4" t="s">
        <v>589</v>
      </c>
      <c r="M402" s="4" t="s">
        <v>34</v>
      </c>
      <c r="N402" s="4">
        <v>0</v>
      </c>
      <c r="O402" s="4">
        <v>1476.76928</v>
      </c>
      <c r="P402" s="4" t="s">
        <v>30</v>
      </c>
      <c r="Q402" s="4" t="s">
        <v>30</v>
      </c>
      <c r="R402" s="4">
        <v>1.7669999999999999E-3</v>
      </c>
      <c r="S402" s="4">
        <v>9.4260000000000004E-4</v>
      </c>
      <c r="T402" s="4">
        <v>2.38</v>
      </c>
    </row>
    <row r="403" spans="1:30" hidden="1" outlineLevel="1" collapsed="1" x14ac:dyDescent="0.2">
      <c r="A403" t="s">
        <v>34</v>
      </c>
      <c r="B403" s="4" t="s">
        <v>30</v>
      </c>
      <c r="C403" s="4" t="s">
        <v>437</v>
      </c>
      <c r="D403" s="4" t="s">
        <v>374</v>
      </c>
      <c r="E403" s="4">
        <v>0.110525</v>
      </c>
      <c r="F403" s="4">
        <v>3.7876699999999999E-3</v>
      </c>
      <c r="G403" s="4">
        <v>4</v>
      </c>
      <c r="H403" s="4">
        <v>8</v>
      </c>
      <c r="I403" s="4">
        <v>1</v>
      </c>
      <c r="J403" s="4">
        <v>1</v>
      </c>
      <c r="K403" s="4" t="s">
        <v>428</v>
      </c>
      <c r="L403" s="4" t="s">
        <v>438</v>
      </c>
      <c r="M403" s="4" t="s">
        <v>34</v>
      </c>
      <c r="N403" s="4">
        <v>1</v>
      </c>
      <c r="O403" s="4">
        <v>1170.5459499999999</v>
      </c>
      <c r="P403" s="4" t="s">
        <v>30</v>
      </c>
      <c r="Q403" s="4" t="s">
        <v>30</v>
      </c>
      <c r="R403" s="4">
        <v>1.7669999999999999E-3</v>
      </c>
      <c r="S403" s="4">
        <v>5.3400000000000003E-2</v>
      </c>
      <c r="T403" s="4">
        <v>1.24</v>
      </c>
    </row>
    <row r="404" spans="1:30" collapsed="1" x14ac:dyDescent="0.2">
      <c r="A404" s="3" t="s">
        <v>30</v>
      </c>
      <c r="B404" s="3" t="s">
        <v>31</v>
      </c>
      <c r="C404" s="3" t="s">
        <v>693</v>
      </c>
      <c r="D404" s="3" t="s">
        <v>694</v>
      </c>
      <c r="E404" s="3">
        <v>0</v>
      </c>
      <c r="F404" s="3">
        <v>10.093</v>
      </c>
      <c r="G404" s="3">
        <v>10</v>
      </c>
      <c r="H404" s="3">
        <v>5</v>
      </c>
      <c r="I404" s="3">
        <v>6</v>
      </c>
      <c r="J404" s="3">
        <v>23</v>
      </c>
      <c r="K404" s="3">
        <v>3</v>
      </c>
      <c r="L404" s="3">
        <v>459</v>
      </c>
      <c r="M404" s="3">
        <v>49.8</v>
      </c>
      <c r="N404" s="3">
        <v>5.14</v>
      </c>
      <c r="O404" s="3">
        <v>17.739999999999998</v>
      </c>
      <c r="P404" s="3">
        <v>5</v>
      </c>
      <c r="Q404" s="3" t="s">
        <v>34</v>
      </c>
      <c r="R404" s="3" t="s">
        <v>34</v>
      </c>
      <c r="S404" s="3" t="s">
        <v>34</v>
      </c>
      <c r="T404" s="3" t="s">
        <v>34</v>
      </c>
      <c r="U404" s="3" t="s">
        <v>34</v>
      </c>
      <c r="V404" s="3" t="s">
        <v>693</v>
      </c>
      <c r="W404" s="3" t="s">
        <v>34</v>
      </c>
      <c r="X404" s="3" t="s">
        <v>34</v>
      </c>
      <c r="Y404" s="3" t="s">
        <v>34</v>
      </c>
      <c r="Z404" s="3" t="s">
        <v>34</v>
      </c>
      <c r="AA404" s="3">
        <v>0</v>
      </c>
      <c r="AB404" s="3" t="s">
        <v>30</v>
      </c>
      <c r="AC404" s="3">
        <v>1</v>
      </c>
      <c r="AD404" s="3" t="s">
        <v>34</v>
      </c>
    </row>
    <row r="405" spans="1:30" hidden="1" outlineLevel="1" collapsed="1" x14ac:dyDescent="0.2">
      <c r="A405" t="s">
        <v>34</v>
      </c>
      <c r="B405" s="2" t="s">
        <v>36</v>
      </c>
      <c r="C405" s="2" t="s">
        <v>37</v>
      </c>
      <c r="D405" s="2" t="s">
        <v>29</v>
      </c>
      <c r="E405" s="2" t="s">
        <v>38</v>
      </c>
      <c r="F405" s="2" t="s">
        <v>39</v>
      </c>
      <c r="G405" s="2" t="s">
        <v>28</v>
      </c>
      <c r="H405" s="2" t="s">
        <v>40</v>
      </c>
      <c r="I405" s="2" t="s">
        <v>8</v>
      </c>
      <c r="J405" s="2" t="s">
        <v>9</v>
      </c>
      <c r="K405" s="2" t="s">
        <v>41</v>
      </c>
      <c r="L405" s="2" t="s">
        <v>42</v>
      </c>
      <c r="M405" s="2" t="s">
        <v>43</v>
      </c>
      <c r="N405" s="2" t="s">
        <v>44</v>
      </c>
      <c r="O405" s="2" t="s">
        <v>45</v>
      </c>
      <c r="P405" s="2" t="s">
        <v>27</v>
      </c>
      <c r="Q405" s="2" t="s">
        <v>46</v>
      </c>
      <c r="R405" s="2" t="s">
        <v>47</v>
      </c>
      <c r="S405" s="2" t="s">
        <v>48</v>
      </c>
      <c r="T405" s="2" t="s">
        <v>49</v>
      </c>
    </row>
    <row r="406" spans="1:30" hidden="1" outlineLevel="1" collapsed="1" x14ac:dyDescent="0.2">
      <c r="A406" t="s">
        <v>34</v>
      </c>
      <c r="B406" s="4" t="s">
        <v>30</v>
      </c>
      <c r="C406" s="4" t="s">
        <v>695</v>
      </c>
      <c r="D406" s="4" t="s">
        <v>34</v>
      </c>
      <c r="E406" s="4">
        <v>0.139737</v>
      </c>
      <c r="F406" s="4">
        <v>3.7876699999999999E-3</v>
      </c>
      <c r="G406" s="4">
        <v>1</v>
      </c>
      <c r="H406" s="4">
        <v>2</v>
      </c>
      <c r="I406" s="4">
        <v>1</v>
      </c>
      <c r="J406" s="4">
        <v>1</v>
      </c>
      <c r="K406" s="4" t="s">
        <v>693</v>
      </c>
      <c r="L406" s="4" t="s">
        <v>696</v>
      </c>
      <c r="M406" s="4" t="s">
        <v>34</v>
      </c>
      <c r="N406" s="4">
        <v>0</v>
      </c>
      <c r="O406" s="4">
        <v>1293.60697</v>
      </c>
      <c r="P406" s="4" t="s">
        <v>30</v>
      </c>
      <c r="Q406" s="4" t="s">
        <v>30</v>
      </c>
      <c r="R406" s="4">
        <v>1.7669999999999999E-3</v>
      </c>
      <c r="S406" s="4">
        <v>6.9959999999999994E-2</v>
      </c>
      <c r="T406" s="4">
        <v>1.1299999999999999</v>
      </c>
    </row>
    <row r="407" spans="1:30" hidden="1" outlineLevel="1" collapsed="1" x14ac:dyDescent="0.2">
      <c r="A407" t="s">
        <v>34</v>
      </c>
      <c r="B407" s="4" t="s">
        <v>30</v>
      </c>
      <c r="C407" s="4" t="s">
        <v>697</v>
      </c>
      <c r="D407" s="4" t="s">
        <v>34</v>
      </c>
      <c r="E407" s="4">
        <v>1.0090500000000001E-2</v>
      </c>
      <c r="F407" s="4">
        <v>3.7876699999999999E-3</v>
      </c>
      <c r="G407" s="4">
        <v>1</v>
      </c>
      <c r="H407" s="4">
        <v>1</v>
      </c>
      <c r="I407" s="4">
        <v>1</v>
      </c>
      <c r="J407" s="4">
        <v>1</v>
      </c>
      <c r="K407" s="4" t="s">
        <v>693</v>
      </c>
      <c r="L407" s="4" t="s">
        <v>698</v>
      </c>
      <c r="M407" s="4" t="s">
        <v>34</v>
      </c>
      <c r="N407" s="4">
        <v>0</v>
      </c>
      <c r="O407" s="4">
        <v>1330.6485</v>
      </c>
      <c r="P407" s="4" t="s">
        <v>30</v>
      </c>
      <c r="Q407" s="4" t="s">
        <v>30</v>
      </c>
      <c r="R407" s="4">
        <v>1.7669999999999999E-3</v>
      </c>
      <c r="S407" s="4">
        <v>3.5790000000000001E-3</v>
      </c>
      <c r="T407" s="4">
        <v>2.23</v>
      </c>
    </row>
    <row r="408" spans="1:30" hidden="1" outlineLevel="1" collapsed="1" x14ac:dyDescent="0.2">
      <c r="A408" t="s">
        <v>34</v>
      </c>
      <c r="B408" s="4" t="s">
        <v>30</v>
      </c>
      <c r="C408" s="4" t="s">
        <v>278</v>
      </c>
      <c r="D408" s="4" t="s">
        <v>34</v>
      </c>
      <c r="E408" s="4">
        <v>6.00136E-2</v>
      </c>
      <c r="F408" s="4">
        <v>3.7876699999999999E-3</v>
      </c>
      <c r="G408" s="4">
        <v>2</v>
      </c>
      <c r="H408" s="4">
        <v>5</v>
      </c>
      <c r="I408" s="4">
        <v>1</v>
      </c>
      <c r="J408" s="4">
        <v>2</v>
      </c>
      <c r="K408" s="4" t="s">
        <v>279</v>
      </c>
      <c r="L408" s="4" t="s">
        <v>280</v>
      </c>
      <c r="M408" s="4" t="s">
        <v>34</v>
      </c>
      <c r="N408" s="4">
        <v>0</v>
      </c>
      <c r="O408" s="4">
        <v>1109.48981</v>
      </c>
      <c r="P408" s="4" t="s">
        <v>30</v>
      </c>
      <c r="Q408" s="4" t="s">
        <v>30</v>
      </c>
      <c r="R408" s="4">
        <v>1.7669999999999999E-3</v>
      </c>
      <c r="S408" s="4">
        <v>2.6579999999999999E-2</v>
      </c>
      <c r="T408" s="4">
        <v>1.77</v>
      </c>
    </row>
    <row r="409" spans="1:30" hidden="1" outlineLevel="1" collapsed="1" x14ac:dyDescent="0.2">
      <c r="A409" t="s">
        <v>34</v>
      </c>
      <c r="B409" s="4" t="s">
        <v>30</v>
      </c>
      <c r="C409" s="4" t="s">
        <v>699</v>
      </c>
      <c r="D409" s="4" t="s">
        <v>34</v>
      </c>
      <c r="E409" s="4">
        <v>0.12870100000000001</v>
      </c>
      <c r="F409" s="4">
        <v>3.7876699999999999E-3</v>
      </c>
      <c r="G409" s="4">
        <v>1</v>
      </c>
      <c r="H409" s="4">
        <v>3</v>
      </c>
      <c r="I409" s="4">
        <v>1</v>
      </c>
      <c r="J409" s="4">
        <v>1</v>
      </c>
      <c r="K409" s="4" t="s">
        <v>693</v>
      </c>
      <c r="L409" s="4" t="s">
        <v>700</v>
      </c>
      <c r="M409" s="4" t="s">
        <v>34</v>
      </c>
      <c r="N409" s="4">
        <v>0</v>
      </c>
      <c r="O409" s="4">
        <v>837.41011000000003</v>
      </c>
      <c r="P409" s="4" t="s">
        <v>30</v>
      </c>
      <c r="Q409" s="4" t="s">
        <v>30</v>
      </c>
      <c r="R409" s="4">
        <v>1.7669999999999999E-3</v>
      </c>
      <c r="S409" s="4">
        <v>6.3460000000000003E-2</v>
      </c>
      <c r="T409" s="4">
        <v>1.03</v>
      </c>
    </row>
    <row r="410" spans="1:30" hidden="1" outlineLevel="1" collapsed="1" x14ac:dyDescent="0.2">
      <c r="A410" t="s">
        <v>34</v>
      </c>
      <c r="B410" s="4" t="s">
        <v>30</v>
      </c>
      <c r="C410" s="4" t="s">
        <v>328</v>
      </c>
      <c r="D410" s="4" t="s">
        <v>34</v>
      </c>
      <c r="E410" s="4">
        <v>4.9613400000000002E-2</v>
      </c>
      <c r="F410" s="4">
        <v>3.7876699999999999E-3</v>
      </c>
      <c r="G410" s="4">
        <v>4</v>
      </c>
      <c r="H410" s="4">
        <v>8</v>
      </c>
      <c r="I410" s="4">
        <v>1</v>
      </c>
      <c r="J410" s="4">
        <v>2</v>
      </c>
      <c r="K410" s="4" t="s">
        <v>329</v>
      </c>
      <c r="L410" s="4" t="s">
        <v>330</v>
      </c>
      <c r="M410" s="4" t="s">
        <v>34</v>
      </c>
      <c r="N410" s="4">
        <v>0</v>
      </c>
      <c r="O410" s="4">
        <v>1090.53097</v>
      </c>
      <c r="P410" s="4" t="s">
        <v>30</v>
      </c>
      <c r="Q410" s="4" t="s">
        <v>30</v>
      </c>
      <c r="R410" s="4">
        <v>1.7669999999999999E-3</v>
      </c>
      <c r="S410" s="4">
        <v>2.138E-2</v>
      </c>
      <c r="T410" s="4">
        <v>1.49</v>
      </c>
    </row>
    <row r="411" spans="1:30" hidden="1" outlineLevel="1" collapsed="1" x14ac:dyDescent="0.2">
      <c r="A411" t="s">
        <v>34</v>
      </c>
      <c r="B411" s="4" t="s">
        <v>30</v>
      </c>
      <c r="C411" s="4" t="s">
        <v>328</v>
      </c>
      <c r="D411" s="4" t="s">
        <v>331</v>
      </c>
      <c r="E411" s="4">
        <v>2.27744E-2</v>
      </c>
      <c r="F411" s="4">
        <v>3.7876699999999999E-3</v>
      </c>
      <c r="G411" s="4">
        <v>4</v>
      </c>
      <c r="H411" s="4">
        <v>8</v>
      </c>
      <c r="I411" s="4">
        <v>1</v>
      </c>
      <c r="J411" s="4">
        <v>16</v>
      </c>
      <c r="K411" s="4" t="s">
        <v>329</v>
      </c>
      <c r="L411" s="4" t="s">
        <v>330</v>
      </c>
      <c r="M411" s="4" t="s">
        <v>34</v>
      </c>
      <c r="N411" s="4">
        <v>0</v>
      </c>
      <c r="O411" s="4">
        <v>1106.5258799999999</v>
      </c>
      <c r="P411" s="4" t="s">
        <v>30</v>
      </c>
      <c r="Q411" s="4" t="s">
        <v>30</v>
      </c>
      <c r="R411" s="4">
        <v>1.7669999999999999E-3</v>
      </c>
      <c r="S411" s="4">
        <v>8.9359999999999995E-3</v>
      </c>
      <c r="T411" s="4">
        <v>2.31</v>
      </c>
    </row>
    <row r="412" spans="1:30" collapsed="1" x14ac:dyDescent="0.2">
      <c r="A412" s="3" t="s">
        <v>30</v>
      </c>
      <c r="B412" s="3" t="s">
        <v>31</v>
      </c>
      <c r="C412" s="3" t="s">
        <v>216</v>
      </c>
      <c r="D412" s="3" t="s">
        <v>701</v>
      </c>
      <c r="E412" s="3">
        <v>0</v>
      </c>
      <c r="F412" s="3">
        <v>5.3559999999999999</v>
      </c>
      <c r="G412" s="3">
        <v>10</v>
      </c>
      <c r="H412" s="3">
        <v>3</v>
      </c>
      <c r="I412" s="3">
        <v>3</v>
      </c>
      <c r="J412" s="3">
        <v>3</v>
      </c>
      <c r="K412" s="3">
        <v>3</v>
      </c>
      <c r="L412" s="3">
        <v>222</v>
      </c>
      <c r="M412" s="3">
        <v>26</v>
      </c>
      <c r="N412" s="3">
        <v>8.43</v>
      </c>
      <c r="O412" s="3">
        <v>7.94</v>
      </c>
      <c r="P412" s="3">
        <v>3</v>
      </c>
      <c r="Q412" s="3" t="s">
        <v>702</v>
      </c>
      <c r="R412" s="3" t="s">
        <v>703</v>
      </c>
      <c r="S412" s="3" t="s">
        <v>561</v>
      </c>
      <c r="T412" s="3" t="s">
        <v>704</v>
      </c>
      <c r="U412" s="3" t="s">
        <v>705</v>
      </c>
      <c r="V412" s="3" t="s">
        <v>706</v>
      </c>
      <c r="W412" s="3" t="s">
        <v>707</v>
      </c>
      <c r="X412" s="3" t="s">
        <v>708</v>
      </c>
      <c r="Y412" s="3" t="s">
        <v>34</v>
      </c>
      <c r="Z412" s="3" t="s">
        <v>34</v>
      </c>
      <c r="AA412" s="3">
        <v>0</v>
      </c>
      <c r="AB412" s="3" t="s">
        <v>30</v>
      </c>
      <c r="AC412" s="3">
        <v>1</v>
      </c>
      <c r="AD412" s="3" t="s">
        <v>709</v>
      </c>
    </row>
    <row r="413" spans="1:30" hidden="1" outlineLevel="1" collapsed="1" x14ac:dyDescent="0.2">
      <c r="A413" t="s">
        <v>34</v>
      </c>
      <c r="B413" s="2" t="s">
        <v>36</v>
      </c>
      <c r="C413" s="2" t="s">
        <v>37</v>
      </c>
      <c r="D413" s="2" t="s">
        <v>29</v>
      </c>
      <c r="E413" s="2" t="s">
        <v>38</v>
      </c>
      <c r="F413" s="2" t="s">
        <v>39</v>
      </c>
      <c r="G413" s="2" t="s">
        <v>28</v>
      </c>
      <c r="H413" s="2" t="s">
        <v>40</v>
      </c>
      <c r="I413" s="2" t="s">
        <v>8</v>
      </c>
      <c r="J413" s="2" t="s">
        <v>9</v>
      </c>
      <c r="K413" s="2" t="s">
        <v>41</v>
      </c>
      <c r="L413" s="2" t="s">
        <v>42</v>
      </c>
      <c r="M413" s="2" t="s">
        <v>43</v>
      </c>
      <c r="N413" s="2" t="s">
        <v>44</v>
      </c>
      <c r="O413" s="2" t="s">
        <v>45</v>
      </c>
      <c r="P413" s="2" t="s">
        <v>27</v>
      </c>
      <c r="Q413" s="2" t="s">
        <v>46</v>
      </c>
      <c r="R413" s="2" t="s">
        <v>47</v>
      </c>
      <c r="S413" s="2" t="s">
        <v>48</v>
      </c>
      <c r="T413" s="2" t="s">
        <v>49</v>
      </c>
    </row>
    <row r="414" spans="1:30" hidden="1" outlineLevel="1" collapsed="1" x14ac:dyDescent="0.2">
      <c r="A414" t="s">
        <v>34</v>
      </c>
      <c r="B414" s="4" t="s">
        <v>30</v>
      </c>
      <c r="C414" s="4" t="s">
        <v>710</v>
      </c>
      <c r="D414" s="4" t="s">
        <v>34</v>
      </c>
      <c r="E414" s="4">
        <v>7.7466099999999996E-2</v>
      </c>
      <c r="F414" s="4">
        <v>3.7876699999999999E-3</v>
      </c>
      <c r="G414" s="4">
        <v>1</v>
      </c>
      <c r="H414" s="4">
        <v>1</v>
      </c>
      <c r="I414" s="4">
        <v>1</v>
      </c>
      <c r="J414" s="4">
        <v>1</v>
      </c>
      <c r="K414" s="4" t="s">
        <v>216</v>
      </c>
      <c r="L414" s="4" t="s">
        <v>711</v>
      </c>
      <c r="M414" s="4" t="s">
        <v>34</v>
      </c>
      <c r="N414" s="4">
        <v>2</v>
      </c>
      <c r="O414" s="4">
        <v>1247.6590100000001</v>
      </c>
      <c r="P414" s="4" t="s">
        <v>30</v>
      </c>
      <c r="Q414" s="4" t="s">
        <v>30</v>
      </c>
      <c r="R414" s="4">
        <v>1.7669999999999999E-3</v>
      </c>
      <c r="S414" s="4">
        <v>3.542E-2</v>
      </c>
      <c r="T414" s="4">
        <v>3.26</v>
      </c>
    </row>
    <row r="415" spans="1:30" hidden="1" outlineLevel="1" collapsed="1" x14ac:dyDescent="0.2">
      <c r="A415" t="s">
        <v>34</v>
      </c>
      <c r="B415" s="4" t="s">
        <v>30</v>
      </c>
      <c r="C415" s="4" t="s">
        <v>712</v>
      </c>
      <c r="D415" s="4" t="s">
        <v>713</v>
      </c>
      <c r="E415" s="4">
        <v>6.9502599999999998E-2</v>
      </c>
      <c r="F415" s="4">
        <v>3.7876699999999999E-3</v>
      </c>
      <c r="G415" s="4">
        <v>1</v>
      </c>
      <c r="H415" s="4">
        <v>1</v>
      </c>
      <c r="I415" s="4">
        <v>1</v>
      </c>
      <c r="J415" s="4">
        <v>1</v>
      </c>
      <c r="K415" s="4" t="s">
        <v>216</v>
      </c>
      <c r="L415" s="4" t="s">
        <v>714</v>
      </c>
      <c r="M415" s="4" t="s">
        <v>34</v>
      </c>
      <c r="N415" s="4">
        <v>0</v>
      </c>
      <c r="O415" s="4">
        <v>1482.60697</v>
      </c>
      <c r="P415" s="4" t="s">
        <v>30</v>
      </c>
      <c r="Q415" s="4" t="s">
        <v>30</v>
      </c>
      <c r="R415" s="4">
        <v>1.7669999999999999E-3</v>
      </c>
      <c r="S415" s="4">
        <v>3.1309999999999998E-2</v>
      </c>
      <c r="T415" s="4">
        <v>1.79</v>
      </c>
    </row>
    <row r="416" spans="1:30" hidden="1" outlineLevel="1" collapsed="1" x14ac:dyDescent="0.2">
      <c r="A416" t="s">
        <v>34</v>
      </c>
      <c r="B416" s="4" t="s">
        <v>30</v>
      </c>
      <c r="C416" s="4" t="s">
        <v>715</v>
      </c>
      <c r="D416" s="4" t="s">
        <v>716</v>
      </c>
      <c r="E416" s="4">
        <v>1.1064299999999999E-2</v>
      </c>
      <c r="F416" s="4">
        <v>3.7876699999999999E-3</v>
      </c>
      <c r="G416" s="4">
        <v>1</v>
      </c>
      <c r="H416" s="4">
        <v>1</v>
      </c>
      <c r="I416" s="4">
        <v>1</v>
      </c>
      <c r="J416" s="4">
        <v>1</v>
      </c>
      <c r="K416" s="4" t="s">
        <v>216</v>
      </c>
      <c r="L416" s="4" t="s">
        <v>717</v>
      </c>
      <c r="M416" s="4" t="s">
        <v>718</v>
      </c>
      <c r="N416" s="4">
        <v>1</v>
      </c>
      <c r="O416" s="4">
        <v>1610.7019299999999</v>
      </c>
      <c r="P416" s="4" t="s">
        <v>30</v>
      </c>
      <c r="Q416" s="4" t="s">
        <v>30</v>
      </c>
      <c r="R416" s="4">
        <v>1.7669999999999999E-3</v>
      </c>
      <c r="S416" s="4">
        <v>3.9690000000000003E-3</v>
      </c>
      <c r="T416" s="4">
        <v>2.88</v>
      </c>
    </row>
    <row r="417" spans="1:30" collapsed="1" x14ac:dyDescent="0.2">
      <c r="A417" s="3" t="s">
        <v>30</v>
      </c>
      <c r="B417" s="3" t="s">
        <v>31</v>
      </c>
      <c r="C417" s="3" t="s">
        <v>216</v>
      </c>
      <c r="D417" s="3" t="s">
        <v>719</v>
      </c>
      <c r="E417" s="3">
        <v>0</v>
      </c>
      <c r="F417" s="3">
        <v>5.0369999999999999</v>
      </c>
      <c r="G417" s="3">
        <v>14</v>
      </c>
      <c r="H417" s="3">
        <v>2</v>
      </c>
      <c r="I417" s="3">
        <v>2</v>
      </c>
      <c r="J417" s="3">
        <v>3</v>
      </c>
      <c r="K417" s="3">
        <v>2</v>
      </c>
      <c r="L417" s="3">
        <v>148</v>
      </c>
      <c r="M417" s="3">
        <v>16.5</v>
      </c>
      <c r="N417" s="3">
        <v>9.16</v>
      </c>
      <c r="O417" s="3">
        <v>1.96</v>
      </c>
      <c r="P417" s="3">
        <v>2</v>
      </c>
      <c r="Q417" s="3" t="s">
        <v>720</v>
      </c>
      <c r="R417" s="3" t="s">
        <v>721</v>
      </c>
      <c r="S417" s="3" t="s">
        <v>561</v>
      </c>
      <c r="T417" s="3" t="s">
        <v>722</v>
      </c>
      <c r="U417" s="3" t="s">
        <v>723</v>
      </c>
      <c r="V417" s="3" t="s">
        <v>724</v>
      </c>
      <c r="W417" s="3" t="s">
        <v>725</v>
      </c>
      <c r="X417" s="3" t="s">
        <v>726</v>
      </c>
      <c r="Y417" s="3" t="s">
        <v>727</v>
      </c>
      <c r="Z417" s="3" t="s">
        <v>728</v>
      </c>
      <c r="AA417" s="3">
        <v>4</v>
      </c>
      <c r="AB417" s="3" t="s">
        <v>30</v>
      </c>
      <c r="AC417" s="3">
        <v>1</v>
      </c>
      <c r="AD417" s="3" t="s">
        <v>34</v>
      </c>
    </row>
    <row r="418" spans="1:30" hidden="1" outlineLevel="1" collapsed="1" x14ac:dyDescent="0.2">
      <c r="A418" t="s">
        <v>34</v>
      </c>
      <c r="B418" s="2" t="s">
        <v>36</v>
      </c>
      <c r="C418" s="2" t="s">
        <v>37</v>
      </c>
      <c r="D418" s="2" t="s">
        <v>29</v>
      </c>
      <c r="E418" s="2" t="s">
        <v>38</v>
      </c>
      <c r="F418" s="2" t="s">
        <v>39</v>
      </c>
      <c r="G418" s="2" t="s">
        <v>28</v>
      </c>
      <c r="H418" s="2" t="s">
        <v>40</v>
      </c>
      <c r="I418" s="2" t="s">
        <v>8</v>
      </c>
      <c r="J418" s="2" t="s">
        <v>9</v>
      </c>
      <c r="K418" s="2" t="s">
        <v>41</v>
      </c>
      <c r="L418" s="2" t="s">
        <v>42</v>
      </c>
      <c r="M418" s="2" t="s">
        <v>43</v>
      </c>
      <c r="N418" s="2" t="s">
        <v>44</v>
      </c>
      <c r="O418" s="2" t="s">
        <v>45</v>
      </c>
      <c r="P418" s="2" t="s">
        <v>27</v>
      </c>
      <c r="Q418" s="2" t="s">
        <v>46</v>
      </c>
      <c r="R418" s="2" t="s">
        <v>47</v>
      </c>
      <c r="S418" s="2" t="s">
        <v>48</v>
      </c>
      <c r="T418" s="2" t="s">
        <v>49</v>
      </c>
    </row>
    <row r="419" spans="1:30" hidden="1" outlineLevel="1" collapsed="1" x14ac:dyDescent="0.2">
      <c r="A419" t="s">
        <v>34</v>
      </c>
      <c r="B419" s="4" t="s">
        <v>30</v>
      </c>
      <c r="C419" s="4" t="s">
        <v>729</v>
      </c>
      <c r="D419" s="4" t="s">
        <v>34</v>
      </c>
      <c r="E419" s="4">
        <v>3.3820700000000002E-2</v>
      </c>
      <c r="F419" s="4">
        <v>3.7876699999999999E-3</v>
      </c>
      <c r="G419" s="4">
        <v>1</v>
      </c>
      <c r="H419" s="4">
        <v>1</v>
      </c>
      <c r="I419" s="4">
        <v>1</v>
      </c>
      <c r="J419" s="4">
        <v>1</v>
      </c>
      <c r="K419" s="4" t="s">
        <v>216</v>
      </c>
      <c r="L419" s="4" t="s">
        <v>730</v>
      </c>
      <c r="M419" s="4" t="s">
        <v>34</v>
      </c>
      <c r="N419" s="4">
        <v>0</v>
      </c>
      <c r="O419" s="4">
        <v>981.43844999999999</v>
      </c>
      <c r="P419" s="4" t="s">
        <v>30</v>
      </c>
      <c r="Q419" s="4" t="s">
        <v>30</v>
      </c>
      <c r="R419" s="4">
        <v>1.7669999999999999E-3</v>
      </c>
      <c r="S419" s="4">
        <v>1.391E-2</v>
      </c>
      <c r="T419" s="4">
        <v>1.46</v>
      </c>
    </row>
    <row r="420" spans="1:30" hidden="1" outlineLevel="1" collapsed="1" x14ac:dyDescent="0.2">
      <c r="A420" t="s">
        <v>34</v>
      </c>
      <c r="B420" s="4" t="s">
        <v>30</v>
      </c>
      <c r="C420" s="4" t="s">
        <v>731</v>
      </c>
      <c r="D420" s="4" t="s">
        <v>34</v>
      </c>
      <c r="E420" s="4">
        <v>4.8443899999999998E-2</v>
      </c>
      <c r="F420" s="4">
        <v>3.7876699999999999E-3</v>
      </c>
      <c r="G420" s="4">
        <v>1</v>
      </c>
      <c r="H420" s="4">
        <v>1</v>
      </c>
      <c r="I420" s="4">
        <v>1</v>
      </c>
      <c r="J420" s="4">
        <v>2</v>
      </c>
      <c r="K420" s="4" t="s">
        <v>216</v>
      </c>
      <c r="L420" s="4" t="s">
        <v>732</v>
      </c>
      <c r="M420" s="4" t="s">
        <v>34</v>
      </c>
      <c r="N420" s="4">
        <v>0</v>
      </c>
      <c r="O420" s="4">
        <v>1400.68047</v>
      </c>
      <c r="P420" s="4" t="s">
        <v>30</v>
      </c>
      <c r="Q420" s="4" t="s">
        <v>30</v>
      </c>
      <c r="R420" s="4">
        <v>1.7669999999999999E-3</v>
      </c>
      <c r="S420" s="4">
        <v>2.0789999999999999E-2</v>
      </c>
      <c r="T420" s="4">
        <v>1.96</v>
      </c>
    </row>
    <row r="421" spans="1:30" collapsed="1" x14ac:dyDescent="0.2">
      <c r="A421" s="3" t="s">
        <v>30</v>
      </c>
      <c r="B421" s="3" t="s">
        <v>31</v>
      </c>
      <c r="C421" s="3" t="s">
        <v>216</v>
      </c>
      <c r="D421" s="3" t="s">
        <v>733</v>
      </c>
      <c r="E421" s="3">
        <v>0</v>
      </c>
      <c r="F421" s="3">
        <v>4.7549999999999999</v>
      </c>
      <c r="G421" s="3">
        <v>6</v>
      </c>
      <c r="H421" s="3">
        <v>4</v>
      </c>
      <c r="I421" s="3">
        <v>4</v>
      </c>
      <c r="J421" s="3">
        <v>5</v>
      </c>
      <c r="K421" s="3">
        <v>4</v>
      </c>
      <c r="L421" s="3">
        <v>710</v>
      </c>
      <c r="M421" s="3">
        <v>78.099999999999994</v>
      </c>
      <c r="N421" s="3">
        <v>8.1199999999999992</v>
      </c>
      <c r="O421" s="3">
        <v>1.95</v>
      </c>
      <c r="P421" s="3">
        <v>4</v>
      </c>
      <c r="Q421" s="3" t="s">
        <v>734</v>
      </c>
      <c r="R421" s="3" t="s">
        <v>735</v>
      </c>
      <c r="S421" s="3" t="s">
        <v>736</v>
      </c>
      <c r="T421" s="3" t="s">
        <v>737</v>
      </c>
      <c r="U421" s="3" t="s">
        <v>738</v>
      </c>
      <c r="V421" s="3" t="s">
        <v>739</v>
      </c>
      <c r="W421" s="3" t="s">
        <v>740</v>
      </c>
      <c r="X421" s="3" t="s">
        <v>741</v>
      </c>
      <c r="Y421" s="3" t="s">
        <v>742</v>
      </c>
      <c r="Z421" s="3" t="s">
        <v>743</v>
      </c>
      <c r="AA421" s="3">
        <v>6</v>
      </c>
      <c r="AB421" s="3" t="s">
        <v>30</v>
      </c>
      <c r="AC421" s="3">
        <v>1</v>
      </c>
      <c r="AD421" s="3" t="s">
        <v>34</v>
      </c>
    </row>
    <row r="422" spans="1:30" hidden="1" outlineLevel="1" collapsed="1" x14ac:dyDescent="0.2">
      <c r="A422" t="s">
        <v>34</v>
      </c>
      <c r="B422" s="2" t="s">
        <v>36</v>
      </c>
      <c r="C422" s="2" t="s">
        <v>37</v>
      </c>
      <c r="D422" s="2" t="s">
        <v>29</v>
      </c>
      <c r="E422" s="2" t="s">
        <v>38</v>
      </c>
      <c r="F422" s="2" t="s">
        <v>39</v>
      </c>
      <c r="G422" s="2" t="s">
        <v>28</v>
      </c>
      <c r="H422" s="2" t="s">
        <v>40</v>
      </c>
      <c r="I422" s="2" t="s">
        <v>8</v>
      </c>
      <c r="J422" s="2" t="s">
        <v>9</v>
      </c>
      <c r="K422" s="2" t="s">
        <v>41</v>
      </c>
      <c r="L422" s="2" t="s">
        <v>42</v>
      </c>
      <c r="M422" s="2" t="s">
        <v>43</v>
      </c>
      <c r="N422" s="2" t="s">
        <v>44</v>
      </c>
      <c r="O422" s="2" t="s">
        <v>45</v>
      </c>
      <c r="P422" s="2" t="s">
        <v>27</v>
      </c>
      <c r="Q422" s="2" t="s">
        <v>46</v>
      </c>
      <c r="R422" s="2" t="s">
        <v>47</v>
      </c>
      <c r="S422" s="2" t="s">
        <v>48</v>
      </c>
      <c r="T422" s="2" t="s">
        <v>49</v>
      </c>
    </row>
    <row r="423" spans="1:30" hidden="1" outlineLevel="1" collapsed="1" x14ac:dyDescent="0.2">
      <c r="A423" t="s">
        <v>34</v>
      </c>
      <c r="B423" s="4" t="s">
        <v>30</v>
      </c>
      <c r="C423" s="4" t="s">
        <v>744</v>
      </c>
      <c r="D423" s="4" t="s">
        <v>34</v>
      </c>
      <c r="E423" s="4">
        <v>3.56567E-2</v>
      </c>
      <c r="F423" s="4">
        <v>3.7876699999999999E-3</v>
      </c>
      <c r="G423" s="4">
        <v>1</v>
      </c>
      <c r="H423" s="4">
        <v>1</v>
      </c>
      <c r="I423" s="4">
        <v>1</v>
      </c>
      <c r="J423" s="4">
        <v>1</v>
      </c>
      <c r="K423" s="4" t="s">
        <v>216</v>
      </c>
      <c r="L423" s="4" t="s">
        <v>745</v>
      </c>
      <c r="M423" s="4" t="s">
        <v>34</v>
      </c>
      <c r="N423" s="4">
        <v>0</v>
      </c>
      <c r="O423" s="4">
        <v>1020.51088</v>
      </c>
      <c r="P423" s="4" t="s">
        <v>30</v>
      </c>
      <c r="Q423" s="4" t="s">
        <v>30</v>
      </c>
      <c r="R423" s="4">
        <v>1.7669999999999999E-3</v>
      </c>
      <c r="S423" s="4">
        <v>1.473E-2</v>
      </c>
      <c r="T423" s="4">
        <v>1.41</v>
      </c>
    </row>
    <row r="424" spans="1:30" hidden="1" outlineLevel="1" collapsed="1" x14ac:dyDescent="0.2">
      <c r="A424" t="s">
        <v>34</v>
      </c>
      <c r="B424" s="4" t="s">
        <v>30</v>
      </c>
      <c r="C424" s="4" t="s">
        <v>746</v>
      </c>
      <c r="D424" s="4" t="s">
        <v>34</v>
      </c>
      <c r="E424" s="4">
        <v>0.16886100000000001</v>
      </c>
      <c r="F424" s="4">
        <v>9.5666499999999995E-3</v>
      </c>
      <c r="G424" s="4">
        <v>1</v>
      </c>
      <c r="H424" s="4">
        <v>1</v>
      </c>
      <c r="I424" s="4">
        <v>1</v>
      </c>
      <c r="J424" s="4">
        <v>2</v>
      </c>
      <c r="K424" s="4" t="s">
        <v>216</v>
      </c>
      <c r="L424" s="4" t="s">
        <v>747</v>
      </c>
      <c r="M424" s="4" t="s">
        <v>34</v>
      </c>
      <c r="N424" s="4">
        <v>0</v>
      </c>
      <c r="O424" s="4">
        <v>852.42101000000002</v>
      </c>
      <c r="P424" s="4" t="s">
        <v>30</v>
      </c>
      <c r="Q424" s="4" t="s">
        <v>30</v>
      </c>
      <c r="R424" s="4">
        <v>4.1380000000000002E-3</v>
      </c>
      <c r="S424" s="4">
        <v>8.7059999999999998E-2</v>
      </c>
      <c r="T424" s="4">
        <v>1.03</v>
      </c>
    </row>
    <row r="425" spans="1:30" hidden="1" outlineLevel="1" collapsed="1" x14ac:dyDescent="0.2">
      <c r="A425" t="s">
        <v>34</v>
      </c>
      <c r="B425" s="4" t="s">
        <v>30</v>
      </c>
      <c r="C425" s="4" t="s">
        <v>748</v>
      </c>
      <c r="D425" s="4" t="s">
        <v>61</v>
      </c>
      <c r="E425" s="4">
        <v>0.20050899999999999</v>
      </c>
      <c r="F425" s="4">
        <v>9.5666499999999995E-3</v>
      </c>
      <c r="G425" s="4">
        <v>1</v>
      </c>
      <c r="H425" s="4">
        <v>1</v>
      </c>
      <c r="I425" s="4">
        <v>1</v>
      </c>
      <c r="J425" s="4">
        <v>1</v>
      </c>
      <c r="K425" s="4" t="s">
        <v>216</v>
      </c>
      <c r="L425" s="4" t="s">
        <v>749</v>
      </c>
      <c r="M425" s="4" t="s">
        <v>34</v>
      </c>
      <c r="N425" s="4">
        <v>0</v>
      </c>
      <c r="O425" s="4">
        <v>1820.80072</v>
      </c>
      <c r="P425" s="4" t="s">
        <v>30</v>
      </c>
      <c r="Q425" s="4" t="s">
        <v>30</v>
      </c>
      <c r="R425" s="4">
        <v>4.1380000000000002E-3</v>
      </c>
      <c r="S425" s="4">
        <v>0.10639999999999999</v>
      </c>
      <c r="T425" s="4">
        <v>1.95</v>
      </c>
    </row>
    <row r="426" spans="1:30" hidden="1" outlineLevel="1" collapsed="1" x14ac:dyDescent="0.2">
      <c r="A426" t="s">
        <v>34</v>
      </c>
      <c r="B426" s="4" t="s">
        <v>30</v>
      </c>
      <c r="C426" s="4" t="s">
        <v>750</v>
      </c>
      <c r="D426" s="4" t="s">
        <v>34</v>
      </c>
      <c r="E426" s="4">
        <v>0.234986</v>
      </c>
      <c r="F426" s="4">
        <v>9.5666499999999995E-3</v>
      </c>
      <c r="G426" s="4">
        <v>1</v>
      </c>
      <c r="H426" s="4">
        <v>1</v>
      </c>
      <c r="I426" s="4">
        <v>1</v>
      </c>
      <c r="J426" s="4">
        <v>1</v>
      </c>
      <c r="K426" s="4" t="s">
        <v>216</v>
      </c>
      <c r="L426" s="4" t="s">
        <v>751</v>
      </c>
      <c r="M426" s="4" t="s">
        <v>34</v>
      </c>
      <c r="N426" s="4">
        <v>0</v>
      </c>
      <c r="O426" s="4">
        <v>935.54213000000004</v>
      </c>
      <c r="P426" s="4" t="s">
        <v>30</v>
      </c>
      <c r="Q426" s="4" t="s">
        <v>30</v>
      </c>
      <c r="R426" s="4">
        <v>4.1380000000000002E-3</v>
      </c>
      <c r="S426" s="4">
        <v>0.12889999999999999</v>
      </c>
      <c r="T426" s="4">
        <v>0.72</v>
      </c>
    </row>
    <row r="427" spans="1:30" collapsed="1" x14ac:dyDescent="0.2">
      <c r="A427" s="3" t="s">
        <v>30</v>
      </c>
      <c r="B427" s="3" t="s">
        <v>31</v>
      </c>
      <c r="C427" s="3" t="s">
        <v>752</v>
      </c>
      <c r="D427" s="3" t="s">
        <v>753</v>
      </c>
      <c r="E427" s="3">
        <v>0</v>
      </c>
      <c r="F427" s="3">
        <v>3.7240000000000002</v>
      </c>
      <c r="G427" s="3">
        <v>4</v>
      </c>
      <c r="H427" s="3">
        <v>3</v>
      </c>
      <c r="I427" s="3">
        <v>3</v>
      </c>
      <c r="J427" s="3">
        <v>3</v>
      </c>
      <c r="K427" s="3">
        <v>3</v>
      </c>
      <c r="L427" s="3">
        <v>987</v>
      </c>
      <c r="M427" s="3">
        <v>107.9</v>
      </c>
      <c r="N427" s="3">
        <v>6.39</v>
      </c>
      <c r="O427" s="3">
        <v>0</v>
      </c>
      <c r="P427" s="3">
        <v>3</v>
      </c>
      <c r="Q427" s="3" t="s">
        <v>754</v>
      </c>
      <c r="R427" s="3" t="s">
        <v>755</v>
      </c>
      <c r="S427" s="3" t="s">
        <v>756</v>
      </c>
      <c r="T427" s="3" t="s">
        <v>757</v>
      </c>
      <c r="U427" s="3" t="s">
        <v>758</v>
      </c>
      <c r="V427" s="3" t="s">
        <v>759</v>
      </c>
      <c r="W427" s="3" t="s">
        <v>34</v>
      </c>
      <c r="X427" s="3" t="s">
        <v>760</v>
      </c>
      <c r="Y427" s="3" t="s">
        <v>761</v>
      </c>
      <c r="Z427" s="3" t="s">
        <v>34</v>
      </c>
      <c r="AA427" s="3">
        <v>2</v>
      </c>
      <c r="AB427" s="3" t="s">
        <v>30</v>
      </c>
      <c r="AC427" s="3">
        <v>1</v>
      </c>
      <c r="AD427" s="3" t="s">
        <v>34</v>
      </c>
    </row>
    <row r="428" spans="1:30" hidden="1" outlineLevel="1" collapsed="1" x14ac:dyDescent="0.2">
      <c r="A428" t="s">
        <v>34</v>
      </c>
      <c r="B428" s="2" t="s">
        <v>36</v>
      </c>
      <c r="C428" s="2" t="s">
        <v>37</v>
      </c>
      <c r="D428" s="2" t="s">
        <v>29</v>
      </c>
      <c r="E428" s="2" t="s">
        <v>38</v>
      </c>
      <c r="F428" s="2" t="s">
        <v>39</v>
      </c>
      <c r="G428" s="2" t="s">
        <v>28</v>
      </c>
      <c r="H428" s="2" t="s">
        <v>40</v>
      </c>
      <c r="I428" s="2" t="s">
        <v>8</v>
      </c>
      <c r="J428" s="2" t="s">
        <v>9</v>
      </c>
      <c r="K428" s="2" t="s">
        <v>41</v>
      </c>
      <c r="L428" s="2" t="s">
        <v>42</v>
      </c>
      <c r="M428" s="2" t="s">
        <v>43</v>
      </c>
      <c r="N428" s="2" t="s">
        <v>44</v>
      </c>
      <c r="O428" s="2" t="s">
        <v>45</v>
      </c>
      <c r="P428" s="2" t="s">
        <v>27</v>
      </c>
      <c r="Q428" s="2" t="s">
        <v>46</v>
      </c>
      <c r="R428" s="2" t="s">
        <v>47</v>
      </c>
      <c r="S428" s="2" t="s">
        <v>48</v>
      </c>
      <c r="T428" s="2" t="s">
        <v>49</v>
      </c>
    </row>
    <row r="429" spans="1:30" hidden="1" outlineLevel="1" collapsed="1" x14ac:dyDescent="0.2">
      <c r="A429" t="s">
        <v>34</v>
      </c>
      <c r="B429" s="4" t="s">
        <v>30</v>
      </c>
      <c r="C429" s="4" t="s">
        <v>762</v>
      </c>
      <c r="D429" s="4" t="s">
        <v>34</v>
      </c>
      <c r="E429" s="4">
        <v>0.10950500000000001</v>
      </c>
      <c r="F429" s="4">
        <v>3.7876699999999999E-3</v>
      </c>
      <c r="G429" s="4">
        <v>1</v>
      </c>
      <c r="H429" s="4">
        <v>1</v>
      </c>
      <c r="I429" s="4">
        <v>1</v>
      </c>
      <c r="J429" s="4">
        <v>1</v>
      </c>
      <c r="K429" s="4" t="s">
        <v>752</v>
      </c>
      <c r="L429" s="4" t="s">
        <v>763</v>
      </c>
      <c r="M429" s="4" t="s">
        <v>34</v>
      </c>
      <c r="N429" s="4">
        <v>0</v>
      </c>
      <c r="O429" s="4">
        <v>1086.5789600000001</v>
      </c>
      <c r="P429" s="4" t="s">
        <v>30</v>
      </c>
      <c r="Q429" s="4" t="s">
        <v>30</v>
      </c>
      <c r="R429" s="4">
        <v>1.7669999999999999E-3</v>
      </c>
      <c r="S429" s="4">
        <v>5.2749999999999998E-2</v>
      </c>
      <c r="T429" s="4">
        <v>1.28</v>
      </c>
    </row>
    <row r="430" spans="1:30" hidden="1" outlineLevel="1" collapsed="1" x14ac:dyDescent="0.2">
      <c r="A430" t="s">
        <v>34</v>
      </c>
      <c r="B430" s="4" t="s">
        <v>30</v>
      </c>
      <c r="C430" s="4" t="s">
        <v>764</v>
      </c>
      <c r="D430" s="4" t="s">
        <v>765</v>
      </c>
      <c r="E430" s="4">
        <v>8.2738000000000006E-2</v>
      </c>
      <c r="F430" s="4">
        <v>3.7876699999999999E-3</v>
      </c>
      <c r="G430" s="4">
        <v>1</v>
      </c>
      <c r="H430" s="4">
        <v>1</v>
      </c>
      <c r="I430" s="4">
        <v>1</v>
      </c>
      <c r="J430" s="4">
        <v>1</v>
      </c>
      <c r="K430" s="4" t="s">
        <v>752</v>
      </c>
      <c r="L430" s="4" t="s">
        <v>766</v>
      </c>
      <c r="M430" s="4" t="s">
        <v>34</v>
      </c>
      <c r="N430" s="4">
        <v>0</v>
      </c>
      <c r="O430" s="4">
        <v>1765.8207399999999</v>
      </c>
      <c r="P430" s="4" t="s">
        <v>30</v>
      </c>
      <c r="Q430" s="4" t="s">
        <v>30</v>
      </c>
      <c r="R430" s="4">
        <v>1.7669999999999999E-3</v>
      </c>
      <c r="S430" s="4">
        <v>3.8289999999999998E-2</v>
      </c>
      <c r="T430" s="4">
        <v>1.4</v>
      </c>
    </row>
    <row r="431" spans="1:30" hidden="1" outlineLevel="1" collapsed="1" x14ac:dyDescent="0.2">
      <c r="A431" t="s">
        <v>34</v>
      </c>
      <c r="B431" s="4" t="s">
        <v>30</v>
      </c>
      <c r="C431" s="4" t="s">
        <v>767</v>
      </c>
      <c r="D431" s="4" t="s">
        <v>34</v>
      </c>
      <c r="E431" s="4">
        <v>0.17968899999999999</v>
      </c>
      <c r="F431" s="4">
        <v>9.5666499999999995E-3</v>
      </c>
      <c r="G431" s="4">
        <v>1</v>
      </c>
      <c r="H431" s="4">
        <v>1</v>
      </c>
      <c r="I431" s="4">
        <v>1</v>
      </c>
      <c r="J431" s="4">
        <v>1</v>
      </c>
      <c r="K431" s="4" t="s">
        <v>752</v>
      </c>
      <c r="L431" s="4" t="s">
        <v>768</v>
      </c>
      <c r="M431" s="4" t="s">
        <v>34</v>
      </c>
      <c r="N431" s="4">
        <v>0</v>
      </c>
      <c r="O431" s="4">
        <v>830.47303999999997</v>
      </c>
      <c r="P431" s="4" t="s">
        <v>30</v>
      </c>
      <c r="Q431" s="4" t="s">
        <v>30</v>
      </c>
      <c r="R431" s="4">
        <v>4.1380000000000002E-3</v>
      </c>
      <c r="S431" s="4">
        <v>9.3469999999999998E-2</v>
      </c>
      <c r="T431" s="4">
        <v>0.66</v>
      </c>
    </row>
    <row r="432" spans="1:30" collapsed="1" x14ac:dyDescent="0.2">
      <c r="A432" s="3" t="s">
        <v>30</v>
      </c>
      <c r="B432" s="3" t="s">
        <v>31</v>
      </c>
      <c r="C432" s="3" t="s">
        <v>769</v>
      </c>
      <c r="D432" s="3" t="s">
        <v>770</v>
      </c>
      <c r="E432" s="3">
        <v>0</v>
      </c>
      <c r="F432" s="3">
        <v>3.266</v>
      </c>
      <c r="G432" s="3">
        <v>7</v>
      </c>
      <c r="H432" s="3">
        <v>2</v>
      </c>
      <c r="I432" s="3">
        <v>2</v>
      </c>
      <c r="J432" s="3">
        <v>3</v>
      </c>
      <c r="K432" s="3">
        <v>2</v>
      </c>
      <c r="L432" s="3">
        <v>375</v>
      </c>
      <c r="M432" s="3">
        <v>41.7</v>
      </c>
      <c r="N432" s="3">
        <v>5.68</v>
      </c>
      <c r="O432" s="3">
        <v>0</v>
      </c>
      <c r="P432" s="3">
        <v>2</v>
      </c>
      <c r="Q432" s="3" t="s">
        <v>771</v>
      </c>
      <c r="R432" s="3" t="s">
        <v>772</v>
      </c>
      <c r="S432" s="3" t="s">
        <v>338</v>
      </c>
      <c r="T432" s="3" t="s">
        <v>773</v>
      </c>
      <c r="U432" s="3" t="s">
        <v>774</v>
      </c>
      <c r="V432" s="3" t="s">
        <v>775</v>
      </c>
      <c r="W432" s="3" t="s">
        <v>34</v>
      </c>
      <c r="X432" s="3" t="s">
        <v>776</v>
      </c>
      <c r="Y432" s="3" t="s">
        <v>777</v>
      </c>
      <c r="Z432" s="3" t="s">
        <v>34</v>
      </c>
      <c r="AA432" s="3">
        <v>6</v>
      </c>
      <c r="AB432" s="3" t="s">
        <v>30</v>
      </c>
      <c r="AC432" s="3">
        <v>1</v>
      </c>
      <c r="AD432" s="3" t="s">
        <v>34</v>
      </c>
    </row>
    <row r="433" spans="1:30" hidden="1" outlineLevel="1" collapsed="1" x14ac:dyDescent="0.2">
      <c r="A433" t="s">
        <v>34</v>
      </c>
      <c r="B433" s="2" t="s">
        <v>36</v>
      </c>
      <c r="C433" s="2" t="s">
        <v>37</v>
      </c>
      <c r="D433" s="2" t="s">
        <v>29</v>
      </c>
      <c r="E433" s="2" t="s">
        <v>38</v>
      </c>
      <c r="F433" s="2" t="s">
        <v>39</v>
      </c>
      <c r="G433" s="2" t="s">
        <v>28</v>
      </c>
      <c r="H433" s="2" t="s">
        <v>40</v>
      </c>
      <c r="I433" s="2" t="s">
        <v>8</v>
      </c>
      <c r="J433" s="2" t="s">
        <v>9</v>
      </c>
      <c r="K433" s="2" t="s">
        <v>41</v>
      </c>
      <c r="L433" s="2" t="s">
        <v>42</v>
      </c>
      <c r="M433" s="2" t="s">
        <v>43</v>
      </c>
      <c r="N433" s="2" t="s">
        <v>44</v>
      </c>
      <c r="O433" s="2" t="s">
        <v>45</v>
      </c>
      <c r="P433" s="2" t="s">
        <v>27</v>
      </c>
      <c r="Q433" s="2" t="s">
        <v>46</v>
      </c>
      <c r="R433" s="2" t="s">
        <v>47</v>
      </c>
      <c r="S433" s="2" t="s">
        <v>48</v>
      </c>
      <c r="T433" s="2" t="s">
        <v>49</v>
      </c>
    </row>
    <row r="434" spans="1:30" hidden="1" outlineLevel="1" collapsed="1" x14ac:dyDescent="0.2">
      <c r="A434" t="s">
        <v>34</v>
      </c>
      <c r="B434" s="4" t="s">
        <v>30</v>
      </c>
      <c r="C434" s="4" t="s">
        <v>778</v>
      </c>
      <c r="D434" s="4" t="s">
        <v>34</v>
      </c>
      <c r="E434" s="4">
        <v>1.38963E-2</v>
      </c>
      <c r="F434" s="4">
        <v>3.7876699999999999E-3</v>
      </c>
      <c r="G434" s="4">
        <v>1</v>
      </c>
      <c r="H434" s="4">
        <v>1</v>
      </c>
      <c r="I434" s="4">
        <v>1</v>
      </c>
      <c r="J434" s="4">
        <v>2</v>
      </c>
      <c r="K434" s="4" t="s">
        <v>769</v>
      </c>
      <c r="L434" s="4" t="s">
        <v>779</v>
      </c>
      <c r="M434" s="4" t="s">
        <v>34</v>
      </c>
      <c r="N434" s="4">
        <v>0</v>
      </c>
      <c r="O434" s="4">
        <v>976.44827999999995</v>
      </c>
      <c r="P434" s="4" t="s">
        <v>30</v>
      </c>
      <c r="Q434" s="4" t="s">
        <v>30</v>
      </c>
      <c r="R434" s="4">
        <v>1.7669999999999999E-3</v>
      </c>
      <c r="S434" s="4">
        <v>5.1269999999999996E-3</v>
      </c>
      <c r="T434" s="4">
        <v>1.43</v>
      </c>
    </row>
    <row r="435" spans="1:30" hidden="1" outlineLevel="1" collapsed="1" x14ac:dyDescent="0.2">
      <c r="A435" t="s">
        <v>34</v>
      </c>
      <c r="B435" s="4" t="s">
        <v>30</v>
      </c>
      <c r="C435" s="4" t="s">
        <v>780</v>
      </c>
      <c r="D435" s="4" t="s">
        <v>34</v>
      </c>
      <c r="E435" s="4">
        <v>0.198771</v>
      </c>
      <c r="F435" s="4">
        <v>9.5666499999999995E-3</v>
      </c>
      <c r="G435" s="4">
        <v>1</v>
      </c>
      <c r="H435" s="4">
        <v>1</v>
      </c>
      <c r="I435" s="4">
        <v>1</v>
      </c>
      <c r="J435" s="4">
        <v>1</v>
      </c>
      <c r="K435" s="4" t="s">
        <v>769</v>
      </c>
      <c r="L435" s="4" t="s">
        <v>781</v>
      </c>
      <c r="M435" s="4" t="s">
        <v>34</v>
      </c>
      <c r="N435" s="4">
        <v>0</v>
      </c>
      <c r="O435" s="4">
        <v>1790.89192</v>
      </c>
      <c r="P435" s="4" t="s">
        <v>30</v>
      </c>
      <c r="Q435" s="4" t="s">
        <v>30</v>
      </c>
      <c r="R435" s="4">
        <v>4.1380000000000002E-3</v>
      </c>
      <c r="S435" s="4">
        <v>0.1057</v>
      </c>
      <c r="T435" s="4">
        <v>1.51</v>
      </c>
    </row>
    <row r="436" spans="1:30" collapsed="1" x14ac:dyDescent="0.2">
      <c r="A436" s="3" t="s">
        <v>30</v>
      </c>
      <c r="B436" s="3" t="s">
        <v>31</v>
      </c>
      <c r="C436" s="3" t="s">
        <v>782</v>
      </c>
      <c r="D436" s="3" t="s">
        <v>783</v>
      </c>
      <c r="E436" s="3">
        <v>0</v>
      </c>
      <c r="F436" s="3">
        <v>3.2370000000000001</v>
      </c>
      <c r="G436" s="3">
        <v>5</v>
      </c>
      <c r="H436" s="3">
        <v>2</v>
      </c>
      <c r="I436" s="3">
        <v>2</v>
      </c>
      <c r="J436" s="3">
        <v>2</v>
      </c>
      <c r="K436" s="3">
        <v>2</v>
      </c>
      <c r="L436" s="3">
        <v>449</v>
      </c>
      <c r="M436" s="3">
        <v>49.1</v>
      </c>
      <c r="N436" s="3">
        <v>6.24</v>
      </c>
      <c r="O436" s="3">
        <v>3.51</v>
      </c>
      <c r="P436" s="3">
        <v>2</v>
      </c>
      <c r="Q436" s="3" t="s">
        <v>784</v>
      </c>
      <c r="R436" s="3" t="s">
        <v>785</v>
      </c>
      <c r="S436" s="3" t="s">
        <v>561</v>
      </c>
      <c r="T436" s="3" t="s">
        <v>786</v>
      </c>
      <c r="U436" s="3" t="s">
        <v>787</v>
      </c>
      <c r="V436" s="3" t="s">
        <v>788</v>
      </c>
      <c r="W436" s="3" t="s">
        <v>34</v>
      </c>
      <c r="X436" s="3" t="s">
        <v>789</v>
      </c>
      <c r="Y436" s="3" t="s">
        <v>790</v>
      </c>
      <c r="Z436" s="3" t="s">
        <v>34</v>
      </c>
      <c r="AA436" s="3">
        <v>2</v>
      </c>
      <c r="AB436" s="3" t="s">
        <v>30</v>
      </c>
      <c r="AC436" s="3">
        <v>1</v>
      </c>
      <c r="AD436" s="3" t="s">
        <v>34</v>
      </c>
    </row>
    <row r="437" spans="1:30" hidden="1" outlineLevel="1" collapsed="1" x14ac:dyDescent="0.2">
      <c r="A437" t="s">
        <v>34</v>
      </c>
      <c r="B437" s="2" t="s">
        <v>36</v>
      </c>
      <c r="C437" s="2" t="s">
        <v>37</v>
      </c>
      <c r="D437" s="2" t="s">
        <v>29</v>
      </c>
      <c r="E437" s="2" t="s">
        <v>38</v>
      </c>
      <c r="F437" s="2" t="s">
        <v>39</v>
      </c>
      <c r="G437" s="2" t="s">
        <v>28</v>
      </c>
      <c r="H437" s="2" t="s">
        <v>40</v>
      </c>
      <c r="I437" s="2" t="s">
        <v>8</v>
      </c>
      <c r="J437" s="2" t="s">
        <v>9</v>
      </c>
      <c r="K437" s="2" t="s">
        <v>41</v>
      </c>
      <c r="L437" s="2" t="s">
        <v>42</v>
      </c>
      <c r="M437" s="2" t="s">
        <v>43</v>
      </c>
      <c r="N437" s="2" t="s">
        <v>44</v>
      </c>
      <c r="O437" s="2" t="s">
        <v>45</v>
      </c>
      <c r="P437" s="2" t="s">
        <v>27</v>
      </c>
      <c r="Q437" s="2" t="s">
        <v>46</v>
      </c>
      <c r="R437" s="2" t="s">
        <v>47</v>
      </c>
      <c r="S437" s="2" t="s">
        <v>48</v>
      </c>
      <c r="T437" s="2" t="s">
        <v>49</v>
      </c>
    </row>
    <row r="438" spans="1:30" hidden="1" outlineLevel="1" collapsed="1" x14ac:dyDescent="0.2">
      <c r="A438" t="s">
        <v>34</v>
      </c>
      <c r="B438" s="4" t="s">
        <v>30</v>
      </c>
      <c r="C438" s="4" t="s">
        <v>791</v>
      </c>
      <c r="D438" s="4" t="s">
        <v>358</v>
      </c>
      <c r="E438" s="4">
        <v>4.6851700000000003E-2</v>
      </c>
      <c r="F438" s="4">
        <v>3.7876699999999999E-3</v>
      </c>
      <c r="G438" s="4">
        <v>1</v>
      </c>
      <c r="H438" s="4">
        <v>1</v>
      </c>
      <c r="I438" s="4">
        <v>1</v>
      </c>
      <c r="J438" s="4">
        <v>1</v>
      </c>
      <c r="K438" s="4" t="s">
        <v>782</v>
      </c>
      <c r="L438" s="4" t="s">
        <v>792</v>
      </c>
      <c r="M438" s="4" t="s">
        <v>34</v>
      </c>
      <c r="N438" s="4">
        <v>0</v>
      </c>
      <c r="O438" s="4">
        <v>921.47099000000003</v>
      </c>
      <c r="P438" s="4" t="s">
        <v>30</v>
      </c>
      <c r="Q438" s="4" t="s">
        <v>30</v>
      </c>
      <c r="R438" s="4">
        <v>1.7669999999999999E-3</v>
      </c>
      <c r="S438" s="4">
        <v>2.0060000000000001E-2</v>
      </c>
      <c r="T438" s="4">
        <v>1.76</v>
      </c>
    </row>
    <row r="439" spans="1:30" hidden="1" outlineLevel="1" collapsed="1" x14ac:dyDescent="0.2">
      <c r="A439" t="s">
        <v>34</v>
      </c>
      <c r="B439" s="4" t="s">
        <v>30</v>
      </c>
      <c r="C439" s="4" t="s">
        <v>793</v>
      </c>
      <c r="D439" s="4" t="s">
        <v>34</v>
      </c>
      <c r="E439" s="4">
        <v>6.4742400000000005E-2</v>
      </c>
      <c r="F439" s="4">
        <v>3.7876699999999999E-3</v>
      </c>
      <c r="G439" s="4">
        <v>1</v>
      </c>
      <c r="H439" s="4">
        <v>1</v>
      </c>
      <c r="I439" s="4">
        <v>1</v>
      </c>
      <c r="J439" s="4">
        <v>1</v>
      </c>
      <c r="K439" s="4" t="s">
        <v>782</v>
      </c>
      <c r="L439" s="4" t="s">
        <v>794</v>
      </c>
      <c r="M439" s="4" t="s">
        <v>34</v>
      </c>
      <c r="N439" s="4">
        <v>0</v>
      </c>
      <c r="O439" s="4">
        <v>1256.6844900000001</v>
      </c>
      <c r="P439" s="4" t="s">
        <v>30</v>
      </c>
      <c r="Q439" s="4" t="s">
        <v>30</v>
      </c>
      <c r="R439" s="4">
        <v>1.7669999999999999E-3</v>
      </c>
      <c r="S439" s="4">
        <v>2.886E-2</v>
      </c>
      <c r="T439" s="4">
        <v>1.75</v>
      </c>
    </row>
    <row r="440" spans="1:30" collapsed="1" x14ac:dyDescent="0.2">
      <c r="A440" s="3" t="s">
        <v>30</v>
      </c>
      <c r="B440" s="3" t="s">
        <v>31</v>
      </c>
      <c r="C440" s="3" t="s">
        <v>216</v>
      </c>
      <c r="D440" s="3" t="s">
        <v>795</v>
      </c>
      <c r="E440" s="3">
        <v>0</v>
      </c>
      <c r="F440" s="3">
        <v>3.2040000000000002</v>
      </c>
      <c r="G440" s="3">
        <v>3</v>
      </c>
      <c r="H440" s="3">
        <v>2</v>
      </c>
      <c r="I440" s="3">
        <v>2</v>
      </c>
      <c r="J440" s="3">
        <v>14</v>
      </c>
      <c r="K440" s="3">
        <v>1</v>
      </c>
      <c r="L440" s="3">
        <v>467</v>
      </c>
      <c r="M440" s="3">
        <v>52.2</v>
      </c>
      <c r="N440" s="3">
        <v>4.9400000000000004</v>
      </c>
      <c r="O440" s="3">
        <v>1.71</v>
      </c>
      <c r="P440" s="3">
        <v>2</v>
      </c>
      <c r="Q440" s="3" t="s">
        <v>336</v>
      </c>
      <c r="R440" s="3" t="s">
        <v>337</v>
      </c>
      <c r="S440" s="3" t="s">
        <v>579</v>
      </c>
      <c r="T440" s="3" t="s">
        <v>339</v>
      </c>
      <c r="U440" s="3" t="s">
        <v>796</v>
      </c>
      <c r="V440" s="3" t="s">
        <v>797</v>
      </c>
      <c r="W440" s="3" t="s">
        <v>798</v>
      </c>
      <c r="X440" s="3" t="s">
        <v>799</v>
      </c>
      <c r="Y440" s="3" t="s">
        <v>344</v>
      </c>
      <c r="Z440" s="3" t="s">
        <v>34</v>
      </c>
      <c r="AA440" s="3">
        <v>2</v>
      </c>
      <c r="AB440" s="3" t="s">
        <v>30</v>
      </c>
      <c r="AC440" s="3">
        <v>1</v>
      </c>
      <c r="AD440" s="3" t="s">
        <v>34</v>
      </c>
    </row>
    <row r="441" spans="1:30" hidden="1" outlineLevel="1" collapsed="1" x14ac:dyDescent="0.2">
      <c r="A441" t="s">
        <v>34</v>
      </c>
      <c r="B441" s="2" t="s">
        <v>36</v>
      </c>
      <c r="C441" s="2" t="s">
        <v>37</v>
      </c>
      <c r="D441" s="2" t="s">
        <v>29</v>
      </c>
      <c r="E441" s="2" t="s">
        <v>38</v>
      </c>
      <c r="F441" s="2" t="s">
        <v>39</v>
      </c>
      <c r="G441" s="2" t="s">
        <v>28</v>
      </c>
      <c r="H441" s="2" t="s">
        <v>40</v>
      </c>
      <c r="I441" s="2" t="s">
        <v>8</v>
      </c>
      <c r="J441" s="2" t="s">
        <v>9</v>
      </c>
      <c r="K441" s="2" t="s">
        <v>41</v>
      </c>
      <c r="L441" s="2" t="s">
        <v>42</v>
      </c>
      <c r="M441" s="2" t="s">
        <v>43</v>
      </c>
      <c r="N441" s="2" t="s">
        <v>44</v>
      </c>
      <c r="O441" s="2" t="s">
        <v>45</v>
      </c>
      <c r="P441" s="2" t="s">
        <v>27</v>
      </c>
      <c r="Q441" s="2" t="s">
        <v>46</v>
      </c>
      <c r="R441" s="2" t="s">
        <v>47</v>
      </c>
      <c r="S441" s="2" t="s">
        <v>48</v>
      </c>
      <c r="T441" s="2" t="s">
        <v>49</v>
      </c>
    </row>
    <row r="442" spans="1:30" hidden="1" outlineLevel="1" collapsed="1" x14ac:dyDescent="0.2">
      <c r="A442" t="s">
        <v>34</v>
      </c>
      <c r="B442" s="4" t="s">
        <v>30</v>
      </c>
      <c r="C442" s="4" t="s">
        <v>800</v>
      </c>
      <c r="D442" s="4" t="s">
        <v>34</v>
      </c>
      <c r="E442" s="4">
        <v>8.4306699999999998E-2</v>
      </c>
      <c r="F442" s="4">
        <v>3.7876699999999999E-3</v>
      </c>
      <c r="G442" s="4">
        <v>1</v>
      </c>
      <c r="H442" s="4">
        <v>2</v>
      </c>
      <c r="I442" s="4">
        <v>1</v>
      </c>
      <c r="J442" s="4">
        <v>1</v>
      </c>
      <c r="K442" s="4" t="s">
        <v>216</v>
      </c>
      <c r="L442" s="4" t="s">
        <v>801</v>
      </c>
      <c r="M442" s="4" t="s">
        <v>34</v>
      </c>
      <c r="N442" s="4">
        <v>0</v>
      </c>
      <c r="O442" s="4">
        <v>947.44286</v>
      </c>
      <c r="P442" s="4" t="s">
        <v>30</v>
      </c>
      <c r="Q442" s="4" t="s">
        <v>30</v>
      </c>
      <c r="R442" s="4">
        <v>1.7669999999999999E-3</v>
      </c>
      <c r="S442" s="4">
        <v>3.9109999999999999E-2</v>
      </c>
      <c r="T442" s="4">
        <v>1.57</v>
      </c>
    </row>
    <row r="443" spans="1:30" hidden="1" outlineLevel="1" collapsed="1" x14ac:dyDescent="0.2">
      <c r="A443" t="s">
        <v>34</v>
      </c>
      <c r="B443" s="4" t="s">
        <v>30</v>
      </c>
      <c r="C443" s="4" t="s">
        <v>287</v>
      </c>
      <c r="D443" s="4" t="s">
        <v>34</v>
      </c>
      <c r="E443" s="4">
        <v>3.83188E-2</v>
      </c>
      <c r="F443" s="4">
        <v>3.7876699999999999E-3</v>
      </c>
      <c r="G443" s="4">
        <v>7</v>
      </c>
      <c r="H443" s="4">
        <v>27</v>
      </c>
      <c r="I443" s="4">
        <v>1</v>
      </c>
      <c r="J443" s="4">
        <v>13</v>
      </c>
      <c r="K443" s="4" t="s">
        <v>288</v>
      </c>
      <c r="L443" s="4" t="s">
        <v>289</v>
      </c>
      <c r="M443" s="4" t="s">
        <v>34</v>
      </c>
      <c r="N443" s="4">
        <v>0</v>
      </c>
      <c r="O443" s="4">
        <v>807.39954</v>
      </c>
      <c r="P443" s="4" t="s">
        <v>30</v>
      </c>
      <c r="Q443" s="4" t="s">
        <v>30</v>
      </c>
      <c r="R443" s="4">
        <v>1.7669999999999999E-3</v>
      </c>
      <c r="S443" s="4">
        <v>1.5970000000000002E-2</v>
      </c>
      <c r="T443" s="4">
        <v>1.35</v>
      </c>
    </row>
    <row r="444" spans="1:30" collapsed="1" x14ac:dyDescent="0.2">
      <c r="A444" s="3" t="s">
        <v>30</v>
      </c>
      <c r="B444" s="3" t="s">
        <v>31</v>
      </c>
      <c r="C444" s="3" t="s">
        <v>216</v>
      </c>
      <c r="D444" s="3" t="s">
        <v>802</v>
      </c>
      <c r="E444" s="3">
        <v>0</v>
      </c>
      <c r="F444" s="3">
        <v>3.1320000000000001</v>
      </c>
      <c r="G444" s="3">
        <v>5</v>
      </c>
      <c r="H444" s="3">
        <v>2</v>
      </c>
      <c r="I444" s="3">
        <v>2</v>
      </c>
      <c r="J444" s="3">
        <v>2</v>
      </c>
      <c r="K444" s="3">
        <v>2</v>
      </c>
      <c r="L444" s="3">
        <v>214</v>
      </c>
      <c r="M444" s="3">
        <v>24.5</v>
      </c>
      <c r="N444" s="3">
        <v>5.0199999999999996</v>
      </c>
      <c r="O444" s="3">
        <v>2.6</v>
      </c>
      <c r="P444" s="3">
        <v>2</v>
      </c>
      <c r="Q444" s="3" t="s">
        <v>803</v>
      </c>
      <c r="R444" s="3" t="s">
        <v>703</v>
      </c>
      <c r="S444" s="3" t="s">
        <v>561</v>
      </c>
      <c r="T444" s="3" t="s">
        <v>704</v>
      </c>
      <c r="U444" s="3" t="s">
        <v>804</v>
      </c>
      <c r="V444" s="3" t="s">
        <v>805</v>
      </c>
      <c r="W444" s="3" t="s">
        <v>806</v>
      </c>
      <c r="X444" s="3" t="s">
        <v>807</v>
      </c>
      <c r="Y444" s="3" t="s">
        <v>808</v>
      </c>
      <c r="Z444" s="3" t="s">
        <v>34</v>
      </c>
      <c r="AA444" s="3">
        <v>1</v>
      </c>
      <c r="AB444" s="3" t="s">
        <v>30</v>
      </c>
      <c r="AC444" s="3">
        <v>1</v>
      </c>
      <c r="AD444" s="3" t="s">
        <v>34</v>
      </c>
    </row>
    <row r="445" spans="1:30" hidden="1" outlineLevel="1" collapsed="1" x14ac:dyDescent="0.2">
      <c r="A445" t="s">
        <v>34</v>
      </c>
      <c r="B445" s="2" t="s">
        <v>36</v>
      </c>
      <c r="C445" s="2" t="s">
        <v>37</v>
      </c>
      <c r="D445" s="2" t="s">
        <v>29</v>
      </c>
      <c r="E445" s="2" t="s">
        <v>38</v>
      </c>
      <c r="F445" s="2" t="s">
        <v>39</v>
      </c>
      <c r="G445" s="2" t="s">
        <v>28</v>
      </c>
      <c r="H445" s="2" t="s">
        <v>40</v>
      </c>
      <c r="I445" s="2" t="s">
        <v>8</v>
      </c>
      <c r="J445" s="2" t="s">
        <v>9</v>
      </c>
      <c r="K445" s="2" t="s">
        <v>41</v>
      </c>
      <c r="L445" s="2" t="s">
        <v>42</v>
      </c>
      <c r="M445" s="2" t="s">
        <v>43</v>
      </c>
      <c r="N445" s="2" t="s">
        <v>44</v>
      </c>
      <c r="O445" s="2" t="s">
        <v>45</v>
      </c>
      <c r="P445" s="2" t="s">
        <v>27</v>
      </c>
      <c r="Q445" s="2" t="s">
        <v>46</v>
      </c>
      <c r="R445" s="2" t="s">
        <v>47</v>
      </c>
      <c r="S445" s="2" t="s">
        <v>48</v>
      </c>
      <c r="T445" s="2" t="s">
        <v>49</v>
      </c>
    </row>
    <row r="446" spans="1:30" hidden="1" outlineLevel="1" collapsed="1" x14ac:dyDescent="0.2">
      <c r="A446" t="s">
        <v>34</v>
      </c>
      <c r="B446" s="4" t="s">
        <v>30</v>
      </c>
      <c r="C446" s="4" t="s">
        <v>809</v>
      </c>
      <c r="D446" s="4" t="s">
        <v>34</v>
      </c>
      <c r="E446" s="4">
        <v>0.15299599999999999</v>
      </c>
      <c r="F446" s="4">
        <v>7.4059499999999997E-3</v>
      </c>
      <c r="G446" s="4">
        <v>1</v>
      </c>
      <c r="H446" s="4">
        <v>1</v>
      </c>
      <c r="I446" s="4">
        <v>1</v>
      </c>
      <c r="J446" s="4">
        <v>1</v>
      </c>
      <c r="K446" s="4" t="s">
        <v>216</v>
      </c>
      <c r="L446" s="4" t="s">
        <v>810</v>
      </c>
      <c r="M446" s="4" t="s">
        <v>34</v>
      </c>
      <c r="N446" s="4">
        <v>0</v>
      </c>
      <c r="O446" s="4">
        <v>831.38428999999996</v>
      </c>
      <c r="P446" s="4" t="s">
        <v>30</v>
      </c>
      <c r="Q446" s="4" t="s">
        <v>30</v>
      </c>
      <c r="R446" s="4">
        <v>3.356E-3</v>
      </c>
      <c r="S446" s="4">
        <v>7.7450000000000005E-2</v>
      </c>
      <c r="T446" s="4">
        <v>0.94</v>
      </c>
    </row>
    <row r="447" spans="1:30" hidden="1" outlineLevel="1" collapsed="1" x14ac:dyDescent="0.2">
      <c r="A447" t="s">
        <v>34</v>
      </c>
      <c r="B447" s="4" t="s">
        <v>30</v>
      </c>
      <c r="C447" s="4" t="s">
        <v>811</v>
      </c>
      <c r="D447" s="4" t="s">
        <v>34</v>
      </c>
      <c r="E447" s="4">
        <v>2.4134200000000001E-2</v>
      </c>
      <c r="F447" s="4">
        <v>3.7876699999999999E-3</v>
      </c>
      <c r="G447" s="4">
        <v>1</v>
      </c>
      <c r="H447" s="4">
        <v>1</v>
      </c>
      <c r="I447" s="4">
        <v>1</v>
      </c>
      <c r="J447" s="4">
        <v>1</v>
      </c>
      <c r="K447" s="4" t="s">
        <v>216</v>
      </c>
      <c r="L447" s="4" t="s">
        <v>812</v>
      </c>
      <c r="M447" s="4" t="s">
        <v>34</v>
      </c>
      <c r="N447" s="4">
        <v>1</v>
      </c>
      <c r="O447" s="4">
        <v>1337.6808000000001</v>
      </c>
      <c r="P447" s="4" t="s">
        <v>30</v>
      </c>
      <c r="Q447" s="4" t="s">
        <v>30</v>
      </c>
      <c r="R447" s="4">
        <v>1.7669999999999999E-3</v>
      </c>
      <c r="S447" s="4">
        <v>9.5270000000000007E-3</v>
      </c>
      <c r="T447" s="4">
        <v>2.6</v>
      </c>
    </row>
    <row r="448" spans="1:30" collapsed="1" x14ac:dyDescent="0.2">
      <c r="A448" s="3" t="s">
        <v>30</v>
      </c>
      <c r="B448" s="3" t="s">
        <v>31</v>
      </c>
      <c r="C448" s="3" t="s">
        <v>216</v>
      </c>
      <c r="D448" s="3" t="s">
        <v>813</v>
      </c>
      <c r="E448" s="3">
        <v>0</v>
      </c>
      <c r="F448" s="3">
        <v>3.129</v>
      </c>
      <c r="G448" s="3">
        <v>5</v>
      </c>
      <c r="H448" s="3">
        <v>3</v>
      </c>
      <c r="I448" s="3">
        <v>3</v>
      </c>
      <c r="J448" s="3">
        <v>3</v>
      </c>
      <c r="K448" s="3">
        <v>1</v>
      </c>
      <c r="L448" s="3">
        <v>502</v>
      </c>
      <c r="M448" s="3">
        <v>55.2</v>
      </c>
      <c r="N448" s="3">
        <v>6.46</v>
      </c>
      <c r="O448" s="3">
        <v>0</v>
      </c>
      <c r="P448" s="3">
        <v>3</v>
      </c>
      <c r="Q448" s="3" t="s">
        <v>34</v>
      </c>
      <c r="R448" s="3" t="s">
        <v>814</v>
      </c>
      <c r="S448" s="3" t="s">
        <v>34</v>
      </c>
      <c r="T448" s="3" t="s">
        <v>580</v>
      </c>
      <c r="U448" s="3" t="s">
        <v>34</v>
      </c>
      <c r="V448" s="3" t="s">
        <v>216</v>
      </c>
      <c r="W448" s="3" t="s">
        <v>34</v>
      </c>
      <c r="X448" s="3" t="s">
        <v>34</v>
      </c>
      <c r="Y448" s="3" t="s">
        <v>34</v>
      </c>
      <c r="Z448" s="3" t="s">
        <v>34</v>
      </c>
      <c r="AA448" s="3">
        <v>0</v>
      </c>
      <c r="AB448" s="3" t="s">
        <v>30</v>
      </c>
      <c r="AC448" s="3">
        <v>1</v>
      </c>
      <c r="AD448" s="3" t="s">
        <v>34</v>
      </c>
    </row>
    <row r="449" spans="1:30" hidden="1" outlineLevel="1" collapsed="1" x14ac:dyDescent="0.2">
      <c r="A449" t="s">
        <v>34</v>
      </c>
      <c r="B449" s="2" t="s">
        <v>36</v>
      </c>
      <c r="C449" s="2" t="s">
        <v>37</v>
      </c>
      <c r="D449" s="2" t="s">
        <v>29</v>
      </c>
      <c r="E449" s="2" t="s">
        <v>38</v>
      </c>
      <c r="F449" s="2" t="s">
        <v>39</v>
      </c>
      <c r="G449" s="2" t="s">
        <v>28</v>
      </c>
      <c r="H449" s="2" t="s">
        <v>40</v>
      </c>
      <c r="I449" s="2" t="s">
        <v>8</v>
      </c>
      <c r="J449" s="2" t="s">
        <v>9</v>
      </c>
      <c r="K449" s="2" t="s">
        <v>41</v>
      </c>
      <c r="L449" s="2" t="s">
        <v>42</v>
      </c>
      <c r="M449" s="2" t="s">
        <v>43</v>
      </c>
      <c r="N449" s="2" t="s">
        <v>44</v>
      </c>
      <c r="O449" s="2" t="s">
        <v>45</v>
      </c>
      <c r="P449" s="2" t="s">
        <v>27</v>
      </c>
      <c r="Q449" s="2" t="s">
        <v>46</v>
      </c>
      <c r="R449" s="2" t="s">
        <v>47</v>
      </c>
      <c r="S449" s="2" t="s">
        <v>48</v>
      </c>
      <c r="T449" s="2" t="s">
        <v>49</v>
      </c>
    </row>
    <row r="450" spans="1:30" hidden="1" outlineLevel="1" collapsed="1" x14ac:dyDescent="0.2">
      <c r="A450" t="s">
        <v>34</v>
      </c>
      <c r="B450" s="4" t="s">
        <v>30</v>
      </c>
      <c r="C450" s="4" t="s">
        <v>815</v>
      </c>
      <c r="D450" s="4" t="s">
        <v>34</v>
      </c>
      <c r="E450" s="4">
        <v>0.22522400000000001</v>
      </c>
      <c r="F450" s="4">
        <v>9.5666499999999995E-3</v>
      </c>
      <c r="G450" s="4">
        <v>2</v>
      </c>
      <c r="H450" s="4">
        <v>3</v>
      </c>
      <c r="I450" s="4">
        <v>1</v>
      </c>
      <c r="J450" s="4">
        <v>1</v>
      </c>
      <c r="K450" s="4" t="s">
        <v>816</v>
      </c>
      <c r="L450" s="4" t="s">
        <v>817</v>
      </c>
      <c r="M450" s="4" t="s">
        <v>34</v>
      </c>
      <c r="N450" s="4">
        <v>0</v>
      </c>
      <c r="O450" s="4">
        <v>1038.48506</v>
      </c>
      <c r="P450" s="4" t="s">
        <v>30</v>
      </c>
      <c r="Q450" s="4" t="s">
        <v>30</v>
      </c>
      <c r="R450" s="4">
        <v>4.1380000000000002E-3</v>
      </c>
      <c r="S450" s="4">
        <v>0.1222</v>
      </c>
      <c r="T450" s="4">
        <v>1.37</v>
      </c>
    </row>
    <row r="451" spans="1:30" hidden="1" outlineLevel="1" collapsed="1" x14ac:dyDescent="0.2">
      <c r="A451" t="s">
        <v>34</v>
      </c>
      <c r="B451" s="4" t="s">
        <v>30</v>
      </c>
      <c r="C451" s="4" t="s">
        <v>432</v>
      </c>
      <c r="D451" s="4" t="s">
        <v>34</v>
      </c>
      <c r="E451" s="4">
        <v>0.108998</v>
      </c>
      <c r="F451" s="4">
        <v>3.7876699999999999E-3</v>
      </c>
      <c r="G451" s="4">
        <v>7</v>
      </c>
      <c r="H451" s="4">
        <v>22</v>
      </c>
      <c r="I451" s="4">
        <v>1</v>
      </c>
      <c r="J451" s="4">
        <v>1</v>
      </c>
      <c r="K451" s="4" t="s">
        <v>433</v>
      </c>
      <c r="L451" s="4" t="s">
        <v>434</v>
      </c>
      <c r="M451" s="4" t="s">
        <v>34</v>
      </c>
      <c r="N451" s="4">
        <v>0</v>
      </c>
      <c r="O451" s="4">
        <v>906.46795999999995</v>
      </c>
      <c r="P451" s="4" t="s">
        <v>30</v>
      </c>
      <c r="Q451" s="4" t="s">
        <v>30</v>
      </c>
      <c r="R451" s="4">
        <v>1.7669999999999999E-3</v>
      </c>
      <c r="S451" s="4">
        <v>5.2359999999999997E-2</v>
      </c>
      <c r="T451" s="4">
        <v>1.41</v>
      </c>
    </row>
    <row r="452" spans="1:30" hidden="1" outlineLevel="1" collapsed="1" x14ac:dyDescent="0.2">
      <c r="A452" t="s">
        <v>34</v>
      </c>
      <c r="B452" s="4" t="s">
        <v>30</v>
      </c>
      <c r="C452" s="4" t="s">
        <v>818</v>
      </c>
      <c r="D452" s="4" t="s">
        <v>34</v>
      </c>
      <c r="E452" s="4">
        <v>0.21579300000000001</v>
      </c>
      <c r="F452" s="4">
        <v>9.5666499999999995E-3</v>
      </c>
      <c r="G452" s="4">
        <v>1</v>
      </c>
      <c r="H452" s="4">
        <v>4</v>
      </c>
      <c r="I452" s="4">
        <v>1</v>
      </c>
      <c r="J452" s="4">
        <v>1</v>
      </c>
      <c r="K452" s="4" t="s">
        <v>216</v>
      </c>
      <c r="L452" s="4" t="s">
        <v>819</v>
      </c>
      <c r="M452" s="4" t="s">
        <v>34</v>
      </c>
      <c r="N452" s="4">
        <v>0</v>
      </c>
      <c r="O452" s="4">
        <v>1008.49965</v>
      </c>
      <c r="P452" s="4" t="s">
        <v>30</v>
      </c>
      <c r="Q452" s="4" t="s">
        <v>30</v>
      </c>
      <c r="R452" s="4">
        <v>4.1380000000000002E-3</v>
      </c>
      <c r="S452" s="4">
        <v>0.1162</v>
      </c>
      <c r="T452" s="4">
        <v>0.84</v>
      </c>
    </row>
    <row r="453" spans="1:30" collapsed="1" x14ac:dyDescent="0.2">
      <c r="A453" s="3" t="s">
        <v>30</v>
      </c>
      <c r="B453" s="3" t="s">
        <v>31</v>
      </c>
      <c r="C453" s="3" t="s">
        <v>216</v>
      </c>
      <c r="D453" s="3" t="s">
        <v>820</v>
      </c>
      <c r="E453" s="3">
        <v>0</v>
      </c>
      <c r="F453" s="3">
        <v>2.2400000000000002</v>
      </c>
      <c r="G453" s="3">
        <v>6</v>
      </c>
      <c r="H453" s="3">
        <v>1</v>
      </c>
      <c r="I453" s="3">
        <v>1</v>
      </c>
      <c r="J453" s="3">
        <v>1</v>
      </c>
      <c r="K453" s="3">
        <v>1</v>
      </c>
      <c r="L453" s="3">
        <v>190</v>
      </c>
      <c r="M453" s="3">
        <v>21.3</v>
      </c>
      <c r="N453" s="3">
        <v>6.77</v>
      </c>
      <c r="O453" s="3">
        <v>2.11</v>
      </c>
      <c r="P453" s="3">
        <v>1</v>
      </c>
      <c r="Q453" s="3" t="s">
        <v>821</v>
      </c>
      <c r="R453" s="3" t="s">
        <v>703</v>
      </c>
      <c r="S453" s="3" t="s">
        <v>561</v>
      </c>
      <c r="T453" s="3" t="s">
        <v>822</v>
      </c>
      <c r="U453" s="3" t="s">
        <v>823</v>
      </c>
      <c r="V453" s="3" t="s">
        <v>824</v>
      </c>
      <c r="W453" s="3" t="s">
        <v>34</v>
      </c>
      <c r="X453" s="3" t="s">
        <v>825</v>
      </c>
      <c r="Y453" s="3" t="s">
        <v>34</v>
      </c>
      <c r="Z453" s="3" t="s">
        <v>34</v>
      </c>
      <c r="AA453" s="3">
        <v>0</v>
      </c>
      <c r="AB453" s="3" t="s">
        <v>30</v>
      </c>
      <c r="AC453" s="3">
        <v>1</v>
      </c>
      <c r="AD453" s="3" t="s">
        <v>34</v>
      </c>
    </row>
    <row r="454" spans="1:30" hidden="1" outlineLevel="1" collapsed="1" x14ac:dyDescent="0.2">
      <c r="A454" t="s">
        <v>34</v>
      </c>
      <c r="B454" s="2" t="s">
        <v>36</v>
      </c>
      <c r="C454" s="2" t="s">
        <v>37</v>
      </c>
      <c r="D454" s="2" t="s">
        <v>29</v>
      </c>
      <c r="E454" s="2" t="s">
        <v>38</v>
      </c>
      <c r="F454" s="2" t="s">
        <v>39</v>
      </c>
      <c r="G454" s="2" t="s">
        <v>28</v>
      </c>
      <c r="H454" s="2" t="s">
        <v>40</v>
      </c>
      <c r="I454" s="2" t="s">
        <v>8</v>
      </c>
      <c r="J454" s="2" t="s">
        <v>9</v>
      </c>
      <c r="K454" s="2" t="s">
        <v>41</v>
      </c>
      <c r="L454" s="2" t="s">
        <v>42</v>
      </c>
      <c r="M454" s="2" t="s">
        <v>43</v>
      </c>
      <c r="N454" s="2" t="s">
        <v>44</v>
      </c>
      <c r="O454" s="2" t="s">
        <v>45</v>
      </c>
      <c r="P454" s="2" t="s">
        <v>27</v>
      </c>
      <c r="Q454" s="2" t="s">
        <v>46</v>
      </c>
      <c r="R454" s="2" t="s">
        <v>47</v>
      </c>
      <c r="S454" s="2" t="s">
        <v>48</v>
      </c>
      <c r="T454" s="2" t="s">
        <v>49</v>
      </c>
    </row>
    <row r="455" spans="1:30" hidden="1" outlineLevel="1" collapsed="1" x14ac:dyDescent="0.2">
      <c r="A455" t="s">
        <v>34</v>
      </c>
      <c r="B455" s="4" t="s">
        <v>30</v>
      </c>
      <c r="C455" s="4" t="s">
        <v>826</v>
      </c>
      <c r="D455" s="4" t="s">
        <v>827</v>
      </c>
      <c r="E455" s="4">
        <v>1.5385599999999999E-2</v>
      </c>
      <c r="F455" s="4">
        <v>3.7876699999999999E-3</v>
      </c>
      <c r="G455" s="4">
        <v>1</v>
      </c>
      <c r="H455" s="4">
        <v>1</v>
      </c>
      <c r="I455" s="4">
        <v>1</v>
      </c>
      <c r="J455" s="4">
        <v>1</v>
      </c>
      <c r="K455" s="4" t="s">
        <v>216</v>
      </c>
      <c r="L455" s="4" t="s">
        <v>828</v>
      </c>
      <c r="M455" s="4" t="s">
        <v>34</v>
      </c>
      <c r="N455" s="4">
        <v>0</v>
      </c>
      <c r="O455" s="4">
        <v>1266.5565300000001</v>
      </c>
      <c r="P455" s="4" t="s">
        <v>30</v>
      </c>
      <c r="Q455" s="4" t="s">
        <v>30</v>
      </c>
      <c r="R455" s="4">
        <v>1.7669999999999999E-3</v>
      </c>
      <c r="S455" s="4">
        <v>5.751E-3</v>
      </c>
      <c r="T455" s="4">
        <v>2.11</v>
      </c>
    </row>
    <row r="456" spans="1:30" collapsed="1" x14ac:dyDescent="0.2">
      <c r="A456" s="3" t="s">
        <v>30</v>
      </c>
      <c r="B456" s="3" t="s">
        <v>31</v>
      </c>
      <c r="C456" s="3" t="s">
        <v>216</v>
      </c>
      <c r="D456" s="3" t="s">
        <v>829</v>
      </c>
      <c r="E456" s="3">
        <v>0</v>
      </c>
      <c r="F456" s="3">
        <v>1.9830000000000001</v>
      </c>
      <c r="G456" s="3">
        <v>4</v>
      </c>
      <c r="H456" s="3">
        <v>1</v>
      </c>
      <c r="I456" s="3">
        <v>1</v>
      </c>
      <c r="J456" s="3">
        <v>1</v>
      </c>
      <c r="K456" s="3">
        <v>1</v>
      </c>
      <c r="L456" s="3">
        <v>412</v>
      </c>
      <c r="M456" s="3">
        <v>44.5</v>
      </c>
      <c r="N456" s="3">
        <v>6.54</v>
      </c>
      <c r="O456" s="3">
        <v>2.29</v>
      </c>
      <c r="P456" s="3">
        <v>1</v>
      </c>
      <c r="Q456" s="3" t="s">
        <v>830</v>
      </c>
      <c r="R456" s="3" t="s">
        <v>831</v>
      </c>
      <c r="S456" s="3" t="s">
        <v>561</v>
      </c>
      <c r="T456" s="3" t="s">
        <v>832</v>
      </c>
      <c r="U456" s="3" t="s">
        <v>833</v>
      </c>
      <c r="V456" s="3" t="s">
        <v>834</v>
      </c>
      <c r="W456" s="3" t="s">
        <v>835</v>
      </c>
      <c r="X456" s="3" t="s">
        <v>836</v>
      </c>
      <c r="Y456" s="3" t="s">
        <v>837</v>
      </c>
      <c r="Z456" s="3" t="s">
        <v>838</v>
      </c>
      <c r="AA456" s="3">
        <v>6</v>
      </c>
      <c r="AB456" s="3" t="s">
        <v>30</v>
      </c>
      <c r="AC456" s="3">
        <v>1</v>
      </c>
      <c r="AD456" s="3" t="s">
        <v>34</v>
      </c>
    </row>
    <row r="457" spans="1:30" hidden="1" outlineLevel="1" collapsed="1" x14ac:dyDescent="0.2">
      <c r="A457" t="s">
        <v>34</v>
      </c>
      <c r="B457" s="2" t="s">
        <v>36</v>
      </c>
      <c r="C457" s="2" t="s">
        <v>37</v>
      </c>
      <c r="D457" s="2" t="s">
        <v>29</v>
      </c>
      <c r="E457" s="2" t="s">
        <v>38</v>
      </c>
      <c r="F457" s="2" t="s">
        <v>39</v>
      </c>
      <c r="G457" s="2" t="s">
        <v>28</v>
      </c>
      <c r="H457" s="2" t="s">
        <v>40</v>
      </c>
      <c r="I457" s="2" t="s">
        <v>8</v>
      </c>
      <c r="J457" s="2" t="s">
        <v>9</v>
      </c>
      <c r="K457" s="2" t="s">
        <v>41</v>
      </c>
      <c r="L457" s="2" t="s">
        <v>42</v>
      </c>
      <c r="M457" s="2" t="s">
        <v>43</v>
      </c>
      <c r="N457" s="2" t="s">
        <v>44</v>
      </c>
      <c r="O457" s="2" t="s">
        <v>45</v>
      </c>
      <c r="P457" s="2" t="s">
        <v>27</v>
      </c>
      <c r="Q457" s="2" t="s">
        <v>46</v>
      </c>
      <c r="R457" s="2" t="s">
        <v>47</v>
      </c>
      <c r="S457" s="2" t="s">
        <v>48</v>
      </c>
      <c r="T457" s="2" t="s">
        <v>49</v>
      </c>
    </row>
    <row r="458" spans="1:30" hidden="1" outlineLevel="1" collapsed="1" x14ac:dyDescent="0.2">
      <c r="A458" t="s">
        <v>34</v>
      </c>
      <c r="B458" s="4" t="s">
        <v>30</v>
      </c>
      <c r="C458" s="4" t="s">
        <v>839</v>
      </c>
      <c r="D458" s="4" t="s">
        <v>137</v>
      </c>
      <c r="E458" s="4">
        <v>2.6199099999999999E-2</v>
      </c>
      <c r="F458" s="4">
        <v>3.7876699999999999E-3</v>
      </c>
      <c r="G458" s="4">
        <v>1</v>
      </c>
      <c r="H458" s="4">
        <v>1</v>
      </c>
      <c r="I458" s="4">
        <v>1</v>
      </c>
      <c r="J458" s="4">
        <v>1</v>
      </c>
      <c r="K458" s="4" t="s">
        <v>216</v>
      </c>
      <c r="L458" s="4" t="s">
        <v>840</v>
      </c>
      <c r="M458" s="4" t="s">
        <v>34</v>
      </c>
      <c r="N458" s="4">
        <v>0</v>
      </c>
      <c r="O458" s="4">
        <v>1803.8065300000001</v>
      </c>
      <c r="P458" s="4" t="s">
        <v>30</v>
      </c>
      <c r="Q458" s="4" t="s">
        <v>30</v>
      </c>
      <c r="R458" s="4">
        <v>1.7669999999999999E-3</v>
      </c>
      <c r="S458" s="4">
        <v>1.0410000000000001E-2</v>
      </c>
      <c r="T458" s="4">
        <v>2.29</v>
      </c>
    </row>
    <row r="459" spans="1:30" collapsed="1" x14ac:dyDescent="0.2">
      <c r="A459" s="3" t="s">
        <v>30</v>
      </c>
      <c r="B459" s="3" t="s">
        <v>31</v>
      </c>
      <c r="C459" s="3" t="s">
        <v>216</v>
      </c>
      <c r="D459" s="3" t="s">
        <v>841</v>
      </c>
      <c r="E459" s="3">
        <v>0</v>
      </c>
      <c r="F459" s="3">
        <v>1.9159999999999999</v>
      </c>
      <c r="G459" s="3">
        <v>10</v>
      </c>
      <c r="H459" s="3">
        <v>1</v>
      </c>
      <c r="I459" s="3">
        <v>1</v>
      </c>
      <c r="J459" s="3">
        <v>1</v>
      </c>
      <c r="K459" s="3">
        <v>1</v>
      </c>
      <c r="L459" s="3">
        <v>156</v>
      </c>
      <c r="M459" s="3">
        <v>18</v>
      </c>
      <c r="N459" s="3">
        <v>9.64</v>
      </c>
      <c r="O459" s="3">
        <v>0</v>
      </c>
      <c r="P459" s="3">
        <v>1</v>
      </c>
      <c r="Q459" s="3" t="s">
        <v>842</v>
      </c>
      <c r="R459" s="3" t="s">
        <v>843</v>
      </c>
      <c r="S459" s="3" t="s">
        <v>561</v>
      </c>
      <c r="T459" s="3" t="s">
        <v>844</v>
      </c>
      <c r="U459" s="3" t="s">
        <v>845</v>
      </c>
      <c r="V459" s="3" t="s">
        <v>846</v>
      </c>
      <c r="W459" s="3" t="s">
        <v>847</v>
      </c>
      <c r="X459" s="3" t="s">
        <v>848</v>
      </c>
      <c r="Y459" s="3" t="s">
        <v>849</v>
      </c>
      <c r="Z459" s="3" t="s">
        <v>850</v>
      </c>
      <c r="AA459" s="3">
        <v>449</v>
      </c>
      <c r="AB459" s="3" t="s">
        <v>30</v>
      </c>
      <c r="AC459" s="3">
        <v>1</v>
      </c>
      <c r="AD459" s="3" t="s">
        <v>34</v>
      </c>
    </row>
    <row r="460" spans="1:30" hidden="1" outlineLevel="1" collapsed="1" x14ac:dyDescent="0.2">
      <c r="A460" t="s">
        <v>34</v>
      </c>
      <c r="B460" s="2" t="s">
        <v>36</v>
      </c>
      <c r="C460" s="2" t="s">
        <v>37</v>
      </c>
      <c r="D460" s="2" t="s">
        <v>29</v>
      </c>
      <c r="E460" s="2" t="s">
        <v>38</v>
      </c>
      <c r="F460" s="2" t="s">
        <v>39</v>
      </c>
      <c r="G460" s="2" t="s">
        <v>28</v>
      </c>
      <c r="H460" s="2" t="s">
        <v>40</v>
      </c>
      <c r="I460" s="2" t="s">
        <v>8</v>
      </c>
      <c r="J460" s="2" t="s">
        <v>9</v>
      </c>
      <c r="K460" s="2" t="s">
        <v>41</v>
      </c>
      <c r="L460" s="2" t="s">
        <v>42</v>
      </c>
      <c r="M460" s="2" t="s">
        <v>43</v>
      </c>
      <c r="N460" s="2" t="s">
        <v>44</v>
      </c>
      <c r="O460" s="2" t="s">
        <v>45</v>
      </c>
      <c r="P460" s="2" t="s">
        <v>27</v>
      </c>
      <c r="Q460" s="2" t="s">
        <v>46</v>
      </c>
      <c r="R460" s="2" t="s">
        <v>47</v>
      </c>
      <c r="S460" s="2" t="s">
        <v>48</v>
      </c>
      <c r="T460" s="2" t="s">
        <v>49</v>
      </c>
    </row>
    <row r="461" spans="1:30" hidden="1" outlineLevel="1" collapsed="1" x14ac:dyDescent="0.2">
      <c r="A461" t="s">
        <v>34</v>
      </c>
      <c r="B461" s="4" t="s">
        <v>30</v>
      </c>
      <c r="C461" s="4" t="s">
        <v>851</v>
      </c>
      <c r="D461" s="4" t="s">
        <v>34</v>
      </c>
      <c r="E461" s="4">
        <v>2.9986499999999999E-2</v>
      </c>
      <c r="F461" s="4">
        <v>3.7876699999999999E-3</v>
      </c>
      <c r="G461" s="4">
        <v>1</v>
      </c>
      <c r="H461" s="4">
        <v>1</v>
      </c>
      <c r="I461" s="4">
        <v>1</v>
      </c>
      <c r="J461" s="4">
        <v>1</v>
      </c>
      <c r="K461" s="4" t="s">
        <v>216</v>
      </c>
      <c r="L461" s="4" t="s">
        <v>852</v>
      </c>
      <c r="M461" s="4" t="s">
        <v>34</v>
      </c>
      <c r="N461" s="4">
        <v>0</v>
      </c>
      <c r="O461" s="4">
        <v>1787.9273000000001</v>
      </c>
      <c r="P461" s="4" t="s">
        <v>30</v>
      </c>
      <c r="Q461" s="4" t="s">
        <v>30</v>
      </c>
      <c r="R461" s="4">
        <v>1.7669999999999999E-3</v>
      </c>
      <c r="S461" s="4">
        <v>1.2120000000000001E-2</v>
      </c>
      <c r="T461" s="4">
        <v>1.89</v>
      </c>
    </row>
    <row r="462" spans="1:30" collapsed="1" x14ac:dyDescent="0.2">
      <c r="A462" s="3" t="s">
        <v>30</v>
      </c>
      <c r="B462" s="3" t="s">
        <v>31</v>
      </c>
      <c r="C462" s="3" t="s">
        <v>216</v>
      </c>
      <c r="D462" s="3" t="s">
        <v>853</v>
      </c>
      <c r="E462" s="3">
        <v>0</v>
      </c>
      <c r="F462" s="3">
        <v>1.909</v>
      </c>
      <c r="G462" s="3">
        <v>4</v>
      </c>
      <c r="H462" s="3">
        <v>2</v>
      </c>
      <c r="I462" s="3">
        <v>2</v>
      </c>
      <c r="J462" s="3">
        <v>2</v>
      </c>
      <c r="K462" s="3">
        <v>1</v>
      </c>
      <c r="L462" s="3">
        <v>513</v>
      </c>
      <c r="M462" s="3">
        <v>56.6</v>
      </c>
      <c r="N462" s="3">
        <v>6.74</v>
      </c>
      <c r="O462" s="3">
        <v>0</v>
      </c>
      <c r="P462" s="3">
        <v>2</v>
      </c>
      <c r="Q462" s="3" t="s">
        <v>34</v>
      </c>
      <c r="R462" s="3" t="s">
        <v>34</v>
      </c>
      <c r="S462" s="3" t="s">
        <v>34</v>
      </c>
      <c r="T462" s="3" t="s">
        <v>34</v>
      </c>
      <c r="U462" s="3" t="s">
        <v>34</v>
      </c>
      <c r="V462" s="3" t="s">
        <v>216</v>
      </c>
      <c r="W462" s="3" t="s">
        <v>34</v>
      </c>
      <c r="X462" s="3" t="s">
        <v>34</v>
      </c>
      <c r="Y462" s="3" t="s">
        <v>34</v>
      </c>
      <c r="Z462" s="3" t="s">
        <v>34</v>
      </c>
      <c r="AA462" s="3">
        <v>0</v>
      </c>
      <c r="AB462" s="3" t="s">
        <v>30</v>
      </c>
      <c r="AC462" s="3">
        <v>1</v>
      </c>
      <c r="AD462" s="3" t="s">
        <v>34</v>
      </c>
    </row>
    <row r="463" spans="1:30" hidden="1" outlineLevel="1" collapsed="1" x14ac:dyDescent="0.2">
      <c r="A463" t="s">
        <v>34</v>
      </c>
      <c r="B463" s="2" t="s">
        <v>36</v>
      </c>
      <c r="C463" s="2" t="s">
        <v>37</v>
      </c>
      <c r="D463" s="2" t="s">
        <v>29</v>
      </c>
      <c r="E463" s="2" t="s">
        <v>38</v>
      </c>
      <c r="F463" s="2" t="s">
        <v>39</v>
      </c>
      <c r="G463" s="2" t="s">
        <v>28</v>
      </c>
      <c r="H463" s="2" t="s">
        <v>40</v>
      </c>
      <c r="I463" s="2" t="s">
        <v>8</v>
      </c>
      <c r="J463" s="2" t="s">
        <v>9</v>
      </c>
      <c r="K463" s="2" t="s">
        <v>41</v>
      </c>
      <c r="L463" s="2" t="s">
        <v>42</v>
      </c>
      <c r="M463" s="2" t="s">
        <v>43</v>
      </c>
      <c r="N463" s="2" t="s">
        <v>44</v>
      </c>
      <c r="O463" s="2" t="s">
        <v>45</v>
      </c>
      <c r="P463" s="2" t="s">
        <v>27</v>
      </c>
      <c r="Q463" s="2" t="s">
        <v>46</v>
      </c>
      <c r="R463" s="2" t="s">
        <v>47</v>
      </c>
      <c r="S463" s="2" t="s">
        <v>48</v>
      </c>
      <c r="T463" s="2" t="s">
        <v>49</v>
      </c>
    </row>
    <row r="464" spans="1:30" hidden="1" outlineLevel="1" collapsed="1" x14ac:dyDescent="0.2">
      <c r="A464" t="s">
        <v>34</v>
      </c>
      <c r="B464" s="4" t="s">
        <v>30</v>
      </c>
      <c r="C464" s="4" t="s">
        <v>815</v>
      </c>
      <c r="D464" s="4" t="s">
        <v>34</v>
      </c>
      <c r="E464" s="4">
        <v>0.22522400000000001</v>
      </c>
      <c r="F464" s="4">
        <v>9.5666499999999995E-3</v>
      </c>
      <c r="G464" s="4">
        <v>2</v>
      </c>
      <c r="H464" s="4">
        <v>3</v>
      </c>
      <c r="I464" s="4">
        <v>1</v>
      </c>
      <c r="J464" s="4">
        <v>1</v>
      </c>
      <c r="K464" s="4" t="s">
        <v>816</v>
      </c>
      <c r="L464" s="4" t="s">
        <v>817</v>
      </c>
      <c r="M464" s="4" t="s">
        <v>34</v>
      </c>
      <c r="N464" s="4">
        <v>0</v>
      </c>
      <c r="O464" s="4">
        <v>1038.48506</v>
      </c>
      <c r="P464" s="4" t="s">
        <v>30</v>
      </c>
      <c r="Q464" s="4" t="s">
        <v>30</v>
      </c>
      <c r="R464" s="4">
        <v>4.1380000000000002E-3</v>
      </c>
      <c r="S464" s="4">
        <v>0.1222</v>
      </c>
      <c r="T464" s="4">
        <v>1.37</v>
      </c>
    </row>
    <row r="465" spans="1:30" hidden="1" outlineLevel="1" collapsed="1" x14ac:dyDescent="0.2">
      <c r="A465" t="s">
        <v>34</v>
      </c>
      <c r="B465" s="4" t="s">
        <v>30</v>
      </c>
      <c r="C465" s="4" t="s">
        <v>854</v>
      </c>
      <c r="D465" s="4" t="s">
        <v>34</v>
      </c>
      <c r="E465" s="4">
        <v>0.19194800000000001</v>
      </c>
      <c r="F465" s="4">
        <v>9.5666499999999995E-3</v>
      </c>
      <c r="G465" s="4">
        <v>1</v>
      </c>
      <c r="H465" s="4">
        <v>1</v>
      </c>
      <c r="I465" s="4">
        <v>1</v>
      </c>
      <c r="J465" s="4">
        <v>1</v>
      </c>
      <c r="K465" s="4" t="s">
        <v>216</v>
      </c>
      <c r="L465" s="4" t="s">
        <v>855</v>
      </c>
      <c r="M465" s="4" t="s">
        <v>34</v>
      </c>
      <c r="N465" s="4">
        <v>0</v>
      </c>
      <c r="O465" s="4">
        <v>1088.5582300000001</v>
      </c>
      <c r="P465" s="4" t="s">
        <v>30</v>
      </c>
      <c r="Q465" s="4" t="s">
        <v>30</v>
      </c>
      <c r="R465" s="4">
        <v>4.1380000000000002E-3</v>
      </c>
      <c r="S465" s="4">
        <v>0.10100000000000001</v>
      </c>
      <c r="T465" s="4">
        <v>1.1100000000000001</v>
      </c>
    </row>
    <row r="466" spans="1:30" collapsed="1" x14ac:dyDescent="0.2">
      <c r="A466" s="3" t="s">
        <v>30</v>
      </c>
      <c r="B466" s="3" t="s">
        <v>31</v>
      </c>
      <c r="C466" s="3" t="s">
        <v>216</v>
      </c>
      <c r="D466" s="3" t="s">
        <v>856</v>
      </c>
      <c r="E466" s="3">
        <v>0</v>
      </c>
      <c r="F466" s="3">
        <v>1.5740000000000001</v>
      </c>
      <c r="G466" s="3">
        <v>9</v>
      </c>
      <c r="H466" s="3">
        <v>1</v>
      </c>
      <c r="I466" s="3">
        <v>1</v>
      </c>
      <c r="J466" s="3">
        <v>1</v>
      </c>
      <c r="K466" s="3">
        <v>1</v>
      </c>
      <c r="L466" s="3">
        <v>146</v>
      </c>
      <c r="M466" s="3">
        <v>15.9</v>
      </c>
      <c r="N466" s="3">
        <v>7.28</v>
      </c>
      <c r="O466" s="3">
        <v>2.65</v>
      </c>
      <c r="P466" s="3">
        <v>1</v>
      </c>
      <c r="Q466" s="3" t="s">
        <v>34</v>
      </c>
      <c r="R466" s="3" t="s">
        <v>34</v>
      </c>
      <c r="S466" s="3" t="s">
        <v>34</v>
      </c>
      <c r="T466" s="3" t="s">
        <v>34</v>
      </c>
      <c r="U466" s="3" t="s">
        <v>34</v>
      </c>
      <c r="V466" s="3" t="s">
        <v>216</v>
      </c>
      <c r="W466" s="3" t="s">
        <v>34</v>
      </c>
      <c r="X466" s="3" t="s">
        <v>34</v>
      </c>
      <c r="Y466" s="3" t="s">
        <v>34</v>
      </c>
      <c r="Z466" s="3" t="s">
        <v>34</v>
      </c>
      <c r="AA466" s="3">
        <v>0</v>
      </c>
      <c r="AB466" s="3" t="s">
        <v>30</v>
      </c>
      <c r="AC466" s="3">
        <v>1</v>
      </c>
      <c r="AD466" s="3" t="s">
        <v>34</v>
      </c>
    </row>
    <row r="467" spans="1:30" hidden="1" outlineLevel="1" collapsed="1" x14ac:dyDescent="0.2">
      <c r="A467" t="s">
        <v>34</v>
      </c>
      <c r="B467" s="2" t="s">
        <v>36</v>
      </c>
      <c r="C467" s="2" t="s">
        <v>37</v>
      </c>
      <c r="D467" s="2" t="s">
        <v>29</v>
      </c>
      <c r="E467" s="2" t="s">
        <v>38</v>
      </c>
      <c r="F467" s="2" t="s">
        <v>39</v>
      </c>
      <c r="G467" s="2" t="s">
        <v>28</v>
      </c>
      <c r="H467" s="2" t="s">
        <v>40</v>
      </c>
      <c r="I467" s="2" t="s">
        <v>8</v>
      </c>
      <c r="J467" s="2" t="s">
        <v>9</v>
      </c>
      <c r="K467" s="2" t="s">
        <v>41</v>
      </c>
      <c r="L467" s="2" t="s">
        <v>42</v>
      </c>
      <c r="M467" s="2" t="s">
        <v>43</v>
      </c>
      <c r="N467" s="2" t="s">
        <v>44</v>
      </c>
      <c r="O467" s="2" t="s">
        <v>45</v>
      </c>
      <c r="P467" s="2" t="s">
        <v>27</v>
      </c>
      <c r="Q467" s="2" t="s">
        <v>46</v>
      </c>
      <c r="R467" s="2" t="s">
        <v>47</v>
      </c>
      <c r="S467" s="2" t="s">
        <v>48</v>
      </c>
      <c r="T467" s="2" t="s">
        <v>49</v>
      </c>
    </row>
    <row r="468" spans="1:30" hidden="1" outlineLevel="1" collapsed="1" x14ac:dyDescent="0.2">
      <c r="A468" t="s">
        <v>34</v>
      </c>
      <c r="B468" s="4" t="s">
        <v>30</v>
      </c>
      <c r="C468" s="4" t="s">
        <v>857</v>
      </c>
      <c r="D468" s="4" t="s">
        <v>34</v>
      </c>
      <c r="E468" s="4">
        <v>6.0299100000000001E-2</v>
      </c>
      <c r="F468" s="4">
        <v>3.7876699999999999E-3</v>
      </c>
      <c r="G468" s="4">
        <v>1</v>
      </c>
      <c r="H468" s="4">
        <v>1</v>
      </c>
      <c r="I468" s="4">
        <v>1</v>
      </c>
      <c r="J468" s="4">
        <v>1</v>
      </c>
      <c r="K468" s="4" t="s">
        <v>216</v>
      </c>
      <c r="L468" s="4" t="s">
        <v>858</v>
      </c>
      <c r="M468" s="4" t="s">
        <v>34</v>
      </c>
      <c r="N468" s="4">
        <v>0</v>
      </c>
      <c r="O468" s="4">
        <v>1314.66482</v>
      </c>
      <c r="P468" s="4" t="s">
        <v>30</v>
      </c>
      <c r="Q468" s="4" t="s">
        <v>30</v>
      </c>
      <c r="R468" s="4">
        <v>1.7669999999999999E-3</v>
      </c>
      <c r="S468" s="4">
        <v>2.665E-2</v>
      </c>
      <c r="T468" s="4">
        <v>2.65</v>
      </c>
    </row>
    <row r="469" spans="1:30" collapsed="1" x14ac:dyDescent="0.2">
      <c r="A469" s="3" t="s">
        <v>30</v>
      </c>
      <c r="B469" s="3" t="s">
        <v>31</v>
      </c>
      <c r="C469" s="3" t="s">
        <v>859</v>
      </c>
      <c r="D469" s="3" t="s">
        <v>860</v>
      </c>
      <c r="E469" s="3">
        <v>0</v>
      </c>
      <c r="F469" s="3">
        <v>1.4379999999999999</v>
      </c>
      <c r="G469" s="3">
        <v>1</v>
      </c>
      <c r="H469" s="3">
        <v>1</v>
      </c>
      <c r="I469" s="3">
        <v>1</v>
      </c>
      <c r="J469" s="3">
        <v>2</v>
      </c>
      <c r="K469" s="3">
        <v>1</v>
      </c>
      <c r="L469" s="3">
        <v>690</v>
      </c>
      <c r="M469" s="3">
        <v>77.5</v>
      </c>
      <c r="N469" s="3">
        <v>9.61</v>
      </c>
      <c r="O469" s="3">
        <v>0</v>
      </c>
      <c r="P469" s="3">
        <v>1</v>
      </c>
      <c r="Q469" s="3" t="s">
        <v>861</v>
      </c>
      <c r="R469" s="3" t="s">
        <v>862</v>
      </c>
      <c r="S469" s="3" t="s">
        <v>863</v>
      </c>
      <c r="T469" s="3" t="s">
        <v>864</v>
      </c>
      <c r="U469" s="3" t="s">
        <v>865</v>
      </c>
      <c r="V469" s="3" t="s">
        <v>866</v>
      </c>
      <c r="W469" s="3" t="s">
        <v>34</v>
      </c>
      <c r="X469" s="3" t="s">
        <v>867</v>
      </c>
      <c r="Y469" s="3" t="s">
        <v>868</v>
      </c>
      <c r="Z469" s="3" t="s">
        <v>34</v>
      </c>
      <c r="AA469" s="3">
        <v>1</v>
      </c>
      <c r="AB469" s="3" t="s">
        <v>30</v>
      </c>
      <c r="AC469" s="3">
        <v>1</v>
      </c>
      <c r="AD469" s="3" t="s">
        <v>34</v>
      </c>
    </row>
    <row r="470" spans="1:30" hidden="1" outlineLevel="1" collapsed="1" x14ac:dyDescent="0.2">
      <c r="A470" t="s">
        <v>34</v>
      </c>
      <c r="B470" s="2" t="s">
        <v>36</v>
      </c>
      <c r="C470" s="2" t="s">
        <v>37</v>
      </c>
      <c r="D470" s="2" t="s">
        <v>29</v>
      </c>
      <c r="E470" s="2" t="s">
        <v>38</v>
      </c>
      <c r="F470" s="2" t="s">
        <v>39</v>
      </c>
      <c r="G470" s="2" t="s">
        <v>28</v>
      </c>
      <c r="H470" s="2" t="s">
        <v>40</v>
      </c>
      <c r="I470" s="2" t="s">
        <v>8</v>
      </c>
      <c r="J470" s="2" t="s">
        <v>9</v>
      </c>
      <c r="K470" s="2" t="s">
        <v>41</v>
      </c>
      <c r="L470" s="2" t="s">
        <v>42</v>
      </c>
      <c r="M470" s="2" t="s">
        <v>43</v>
      </c>
      <c r="N470" s="2" t="s">
        <v>44</v>
      </c>
      <c r="O470" s="2" t="s">
        <v>45</v>
      </c>
      <c r="P470" s="2" t="s">
        <v>27</v>
      </c>
      <c r="Q470" s="2" t="s">
        <v>46</v>
      </c>
      <c r="R470" s="2" t="s">
        <v>47</v>
      </c>
      <c r="S470" s="2" t="s">
        <v>48</v>
      </c>
      <c r="T470" s="2" t="s">
        <v>49</v>
      </c>
    </row>
    <row r="471" spans="1:30" hidden="1" outlineLevel="1" collapsed="1" x14ac:dyDescent="0.2">
      <c r="A471" t="s">
        <v>34</v>
      </c>
      <c r="B471" s="4" t="s">
        <v>30</v>
      </c>
      <c r="C471" s="4" t="s">
        <v>869</v>
      </c>
      <c r="D471" s="4" t="s">
        <v>34</v>
      </c>
      <c r="E471" s="4">
        <v>7.9310599999999995E-2</v>
      </c>
      <c r="F471" s="4">
        <v>3.7876699999999999E-3</v>
      </c>
      <c r="G471" s="4">
        <v>1</v>
      </c>
      <c r="H471" s="4">
        <v>1</v>
      </c>
      <c r="I471" s="4">
        <v>1</v>
      </c>
      <c r="J471" s="4">
        <v>2</v>
      </c>
      <c r="K471" s="4" t="s">
        <v>859</v>
      </c>
      <c r="L471" s="4" t="s">
        <v>870</v>
      </c>
      <c r="M471" s="4" t="s">
        <v>34</v>
      </c>
      <c r="N471" s="4">
        <v>0</v>
      </c>
      <c r="O471" s="4">
        <v>994.48400000000004</v>
      </c>
      <c r="P471" s="4" t="s">
        <v>30</v>
      </c>
      <c r="Q471" s="4" t="s">
        <v>30</v>
      </c>
      <c r="R471" s="4">
        <v>1.7669999999999999E-3</v>
      </c>
      <c r="S471" s="4">
        <v>3.6470000000000002E-2</v>
      </c>
      <c r="T471" s="4">
        <v>1.34</v>
      </c>
    </row>
    <row r="472" spans="1:30" collapsed="1" x14ac:dyDescent="0.2">
      <c r="A472" s="3" t="s">
        <v>30</v>
      </c>
      <c r="B472" s="3" t="s">
        <v>31</v>
      </c>
      <c r="C472" s="3" t="s">
        <v>871</v>
      </c>
      <c r="D472" s="3" t="s">
        <v>872</v>
      </c>
      <c r="E472" s="3">
        <v>0</v>
      </c>
      <c r="F472" s="3">
        <v>1.3009999999999999</v>
      </c>
      <c r="G472" s="3">
        <v>2</v>
      </c>
      <c r="H472" s="3">
        <v>1</v>
      </c>
      <c r="I472" s="3">
        <v>1</v>
      </c>
      <c r="J472" s="3">
        <v>1</v>
      </c>
      <c r="K472" s="3">
        <v>1</v>
      </c>
      <c r="L472" s="3">
        <v>363</v>
      </c>
      <c r="M472" s="3">
        <v>42.2</v>
      </c>
      <c r="N472" s="3">
        <v>7.9</v>
      </c>
      <c r="O472" s="3">
        <v>1.96</v>
      </c>
      <c r="P472" s="3">
        <v>1</v>
      </c>
      <c r="Q472" s="3" t="s">
        <v>517</v>
      </c>
      <c r="R472" s="3" t="s">
        <v>518</v>
      </c>
      <c r="S472" s="3" t="s">
        <v>873</v>
      </c>
      <c r="T472" s="3" t="s">
        <v>874</v>
      </c>
      <c r="U472" s="3" t="s">
        <v>875</v>
      </c>
      <c r="V472" s="3" t="s">
        <v>876</v>
      </c>
      <c r="W472" s="3" t="s">
        <v>34</v>
      </c>
      <c r="X472" s="3" t="s">
        <v>877</v>
      </c>
      <c r="Y472" s="3" t="s">
        <v>34</v>
      </c>
      <c r="Z472" s="3" t="s">
        <v>34</v>
      </c>
      <c r="AA472" s="3">
        <v>0</v>
      </c>
      <c r="AB472" s="3" t="s">
        <v>30</v>
      </c>
      <c r="AC472" s="3">
        <v>1</v>
      </c>
      <c r="AD472" s="3" t="s">
        <v>34</v>
      </c>
    </row>
    <row r="473" spans="1:30" hidden="1" outlineLevel="1" collapsed="1" x14ac:dyDescent="0.2">
      <c r="A473" t="s">
        <v>34</v>
      </c>
      <c r="B473" s="2" t="s">
        <v>36</v>
      </c>
      <c r="C473" s="2" t="s">
        <v>37</v>
      </c>
      <c r="D473" s="2" t="s">
        <v>29</v>
      </c>
      <c r="E473" s="2" t="s">
        <v>38</v>
      </c>
      <c r="F473" s="2" t="s">
        <v>39</v>
      </c>
      <c r="G473" s="2" t="s">
        <v>28</v>
      </c>
      <c r="H473" s="2" t="s">
        <v>40</v>
      </c>
      <c r="I473" s="2" t="s">
        <v>8</v>
      </c>
      <c r="J473" s="2" t="s">
        <v>9</v>
      </c>
      <c r="K473" s="2" t="s">
        <v>41</v>
      </c>
      <c r="L473" s="2" t="s">
        <v>42</v>
      </c>
      <c r="M473" s="2" t="s">
        <v>43</v>
      </c>
      <c r="N473" s="2" t="s">
        <v>44</v>
      </c>
      <c r="O473" s="2" t="s">
        <v>45</v>
      </c>
      <c r="P473" s="2" t="s">
        <v>27</v>
      </c>
      <c r="Q473" s="2" t="s">
        <v>46</v>
      </c>
      <c r="R473" s="2" t="s">
        <v>47</v>
      </c>
      <c r="S473" s="2" t="s">
        <v>48</v>
      </c>
      <c r="T473" s="2" t="s">
        <v>49</v>
      </c>
    </row>
    <row r="474" spans="1:30" hidden="1" outlineLevel="1" collapsed="1" x14ac:dyDescent="0.2">
      <c r="A474" t="s">
        <v>34</v>
      </c>
      <c r="B474" s="4" t="s">
        <v>30</v>
      </c>
      <c r="C474" s="4" t="s">
        <v>878</v>
      </c>
      <c r="D474" s="4" t="s">
        <v>34</v>
      </c>
      <c r="E474" s="4">
        <v>0.104533</v>
      </c>
      <c r="F474" s="4">
        <v>3.7876699999999999E-3</v>
      </c>
      <c r="G474" s="4">
        <v>1</v>
      </c>
      <c r="H474" s="4">
        <v>1</v>
      </c>
      <c r="I474" s="4">
        <v>1</v>
      </c>
      <c r="J474" s="4">
        <v>1</v>
      </c>
      <c r="K474" s="4" t="s">
        <v>871</v>
      </c>
      <c r="L474" s="4" t="s">
        <v>879</v>
      </c>
      <c r="M474" s="4" t="s">
        <v>34</v>
      </c>
      <c r="N474" s="4">
        <v>0</v>
      </c>
      <c r="O474" s="4">
        <v>1020.53604</v>
      </c>
      <c r="P474" s="4" t="s">
        <v>30</v>
      </c>
      <c r="Q474" s="4" t="s">
        <v>30</v>
      </c>
      <c r="R474" s="4">
        <v>1.7669999999999999E-3</v>
      </c>
      <c r="S474" s="4">
        <v>0.05</v>
      </c>
      <c r="T474" s="4">
        <v>1.96</v>
      </c>
    </row>
    <row r="475" spans="1:30" collapsed="1" x14ac:dyDescent="0.2">
      <c r="A475" s="3" t="s">
        <v>30</v>
      </c>
      <c r="B475" s="3" t="s">
        <v>31</v>
      </c>
      <c r="C475" s="3" t="s">
        <v>880</v>
      </c>
      <c r="D475" s="3" t="s">
        <v>881</v>
      </c>
      <c r="E475" s="3">
        <v>0</v>
      </c>
      <c r="F475" s="3">
        <v>1.278</v>
      </c>
      <c r="G475" s="3">
        <v>1</v>
      </c>
      <c r="H475" s="3">
        <v>1</v>
      </c>
      <c r="I475" s="3">
        <v>1</v>
      </c>
      <c r="J475" s="3">
        <v>1</v>
      </c>
      <c r="K475" s="3">
        <v>1</v>
      </c>
      <c r="L475" s="3">
        <v>912</v>
      </c>
      <c r="M475" s="3">
        <v>101.9</v>
      </c>
      <c r="N475" s="3">
        <v>7.84</v>
      </c>
      <c r="O475" s="3">
        <v>0</v>
      </c>
      <c r="P475" s="3">
        <v>1</v>
      </c>
      <c r="Q475" s="3" t="s">
        <v>830</v>
      </c>
      <c r="R475" s="3" t="s">
        <v>882</v>
      </c>
      <c r="S475" s="3" t="s">
        <v>883</v>
      </c>
      <c r="T475" s="3" t="s">
        <v>884</v>
      </c>
      <c r="U475" s="3" t="s">
        <v>885</v>
      </c>
      <c r="V475" s="3" t="s">
        <v>886</v>
      </c>
      <c r="W475" s="3" t="s">
        <v>34</v>
      </c>
      <c r="X475" s="3" t="s">
        <v>887</v>
      </c>
      <c r="Y475" s="3" t="s">
        <v>34</v>
      </c>
      <c r="Z475" s="3" t="s">
        <v>34</v>
      </c>
      <c r="AA475" s="3">
        <v>0</v>
      </c>
      <c r="AB475" s="3" t="s">
        <v>30</v>
      </c>
      <c r="AC475" s="3">
        <v>1</v>
      </c>
      <c r="AD475" s="3" t="s">
        <v>34</v>
      </c>
    </row>
    <row r="476" spans="1:30" hidden="1" outlineLevel="1" collapsed="1" x14ac:dyDescent="0.2">
      <c r="A476" t="s">
        <v>34</v>
      </c>
      <c r="B476" s="2" t="s">
        <v>36</v>
      </c>
      <c r="C476" s="2" t="s">
        <v>37</v>
      </c>
      <c r="D476" s="2" t="s">
        <v>29</v>
      </c>
      <c r="E476" s="2" t="s">
        <v>38</v>
      </c>
      <c r="F476" s="2" t="s">
        <v>39</v>
      </c>
      <c r="G476" s="2" t="s">
        <v>28</v>
      </c>
      <c r="H476" s="2" t="s">
        <v>40</v>
      </c>
      <c r="I476" s="2" t="s">
        <v>8</v>
      </c>
      <c r="J476" s="2" t="s">
        <v>9</v>
      </c>
      <c r="K476" s="2" t="s">
        <v>41</v>
      </c>
      <c r="L476" s="2" t="s">
        <v>42</v>
      </c>
      <c r="M476" s="2" t="s">
        <v>43</v>
      </c>
      <c r="N476" s="2" t="s">
        <v>44</v>
      </c>
      <c r="O476" s="2" t="s">
        <v>45</v>
      </c>
      <c r="P476" s="2" t="s">
        <v>27</v>
      </c>
      <c r="Q476" s="2" t="s">
        <v>46</v>
      </c>
      <c r="R476" s="2" t="s">
        <v>47</v>
      </c>
      <c r="S476" s="2" t="s">
        <v>48</v>
      </c>
      <c r="T476" s="2" t="s">
        <v>49</v>
      </c>
    </row>
    <row r="477" spans="1:30" hidden="1" outlineLevel="1" collapsed="1" x14ac:dyDescent="0.2">
      <c r="A477" t="s">
        <v>34</v>
      </c>
      <c r="B477" s="4" t="s">
        <v>30</v>
      </c>
      <c r="C477" s="4" t="s">
        <v>888</v>
      </c>
      <c r="D477" s="4" t="s">
        <v>34</v>
      </c>
      <c r="E477" s="4">
        <v>0.10950500000000001</v>
      </c>
      <c r="F477" s="4">
        <v>3.7876699999999999E-3</v>
      </c>
      <c r="G477" s="4">
        <v>1</v>
      </c>
      <c r="H477" s="4">
        <v>1</v>
      </c>
      <c r="I477" s="4">
        <v>1</v>
      </c>
      <c r="J477" s="4">
        <v>1</v>
      </c>
      <c r="K477" s="4" t="s">
        <v>880</v>
      </c>
      <c r="L477" s="4" t="s">
        <v>889</v>
      </c>
      <c r="M477" s="4" t="s">
        <v>34</v>
      </c>
      <c r="N477" s="4">
        <v>0</v>
      </c>
      <c r="O477" s="4">
        <v>999.54693999999995</v>
      </c>
      <c r="P477" s="4" t="s">
        <v>30</v>
      </c>
      <c r="Q477" s="4" t="s">
        <v>30</v>
      </c>
      <c r="R477" s="4">
        <v>1.7669999999999999E-3</v>
      </c>
      <c r="S477" s="4">
        <v>5.2780000000000001E-2</v>
      </c>
      <c r="T477" s="4">
        <v>1.25</v>
      </c>
    </row>
    <row r="478" spans="1:30" collapsed="1" x14ac:dyDescent="0.2">
      <c r="A478" s="3" t="s">
        <v>30</v>
      </c>
      <c r="B478" s="3" t="s">
        <v>31</v>
      </c>
      <c r="C478" s="3" t="s">
        <v>890</v>
      </c>
      <c r="D478" s="3" t="s">
        <v>891</v>
      </c>
      <c r="E478" s="3">
        <v>0</v>
      </c>
      <c r="F478" s="3">
        <v>1.272</v>
      </c>
      <c r="G478" s="3">
        <v>2</v>
      </c>
      <c r="H478" s="3">
        <v>1</v>
      </c>
      <c r="I478" s="3">
        <v>1</v>
      </c>
      <c r="J478" s="3">
        <v>1</v>
      </c>
      <c r="K478" s="3">
        <v>1</v>
      </c>
      <c r="L478" s="3">
        <v>520</v>
      </c>
      <c r="M478" s="3">
        <v>56.6</v>
      </c>
      <c r="N478" s="3">
        <v>8.31</v>
      </c>
      <c r="O478" s="3">
        <v>0</v>
      </c>
      <c r="P478" s="3">
        <v>1</v>
      </c>
      <c r="Q478" s="3" t="s">
        <v>34</v>
      </c>
      <c r="R478" s="3" t="s">
        <v>34</v>
      </c>
      <c r="S478" s="3" t="s">
        <v>34</v>
      </c>
      <c r="T478" s="3" t="s">
        <v>34</v>
      </c>
      <c r="U478" s="3" t="s">
        <v>34</v>
      </c>
      <c r="V478" s="3" t="s">
        <v>890</v>
      </c>
      <c r="W478" s="3" t="s">
        <v>34</v>
      </c>
      <c r="X478" s="3" t="s">
        <v>34</v>
      </c>
      <c r="Y478" s="3" t="s">
        <v>34</v>
      </c>
      <c r="Z478" s="3" t="s">
        <v>34</v>
      </c>
      <c r="AA478" s="3">
        <v>0</v>
      </c>
      <c r="AB478" s="3" t="s">
        <v>30</v>
      </c>
      <c r="AC478" s="3">
        <v>1</v>
      </c>
      <c r="AD478" s="3" t="s">
        <v>34</v>
      </c>
    </row>
    <row r="479" spans="1:30" hidden="1" outlineLevel="1" collapsed="1" x14ac:dyDescent="0.2">
      <c r="A479" t="s">
        <v>34</v>
      </c>
      <c r="B479" s="2" t="s">
        <v>36</v>
      </c>
      <c r="C479" s="2" t="s">
        <v>37</v>
      </c>
      <c r="D479" s="2" t="s">
        <v>29</v>
      </c>
      <c r="E479" s="2" t="s">
        <v>38</v>
      </c>
      <c r="F479" s="2" t="s">
        <v>39</v>
      </c>
      <c r="G479" s="2" t="s">
        <v>28</v>
      </c>
      <c r="H479" s="2" t="s">
        <v>40</v>
      </c>
      <c r="I479" s="2" t="s">
        <v>8</v>
      </c>
      <c r="J479" s="2" t="s">
        <v>9</v>
      </c>
      <c r="K479" s="2" t="s">
        <v>41</v>
      </c>
      <c r="L479" s="2" t="s">
        <v>42</v>
      </c>
      <c r="M479" s="2" t="s">
        <v>43</v>
      </c>
      <c r="N479" s="2" t="s">
        <v>44</v>
      </c>
      <c r="O479" s="2" t="s">
        <v>45</v>
      </c>
      <c r="P479" s="2" t="s">
        <v>27</v>
      </c>
      <c r="Q479" s="2" t="s">
        <v>46</v>
      </c>
      <c r="R479" s="2" t="s">
        <v>47</v>
      </c>
      <c r="S479" s="2" t="s">
        <v>48</v>
      </c>
      <c r="T479" s="2" t="s">
        <v>49</v>
      </c>
    </row>
    <row r="480" spans="1:30" hidden="1" outlineLevel="1" collapsed="1" x14ac:dyDescent="0.2">
      <c r="A480" t="s">
        <v>34</v>
      </c>
      <c r="B480" s="4" t="s">
        <v>30</v>
      </c>
      <c r="C480" s="4" t="s">
        <v>892</v>
      </c>
      <c r="D480" s="4" t="s">
        <v>34</v>
      </c>
      <c r="E480" s="4">
        <v>0.111039</v>
      </c>
      <c r="F480" s="4">
        <v>3.7876699999999999E-3</v>
      </c>
      <c r="G480" s="4">
        <v>1</v>
      </c>
      <c r="H480" s="4">
        <v>2</v>
      </c>
      <c r="I480" s="4">
        <v>1</v>
      </c>
      <c r="J480" s="4">
        <v>1</v>
      </c>
      <c r="K480" s="4" t="s">
        <v>890</v>
      </c>
      <c r="L480" s="4" t="s">
        <v>893</v>
      </c>
      <c r="M480" s="4" t="s">
        <v>34</v>
      </c>
      <c r="N480" s="4">
        <v>0</v>
      </c>
      <c r="O480" s="4">
        <v>816.48253999999997</v>
      </c>
      <c r="P480" s="4" t="s">
        <v>30</v>
      </c>
      <c r="Q480" s="4" t="s">
        <v>30</v>
      </c>
      <c r="R480" s="4">
        <v>1.7669999999999999E-3</v>
      </c>
      <c r="S480" s="4">
        <v>5.3499999999999999E-2</v>
      </c>
      <c r="T480" s="4">
        <v>0.71</v>
      </c>
    </row>
    <row r="481" spans="1:30" collapsed="1" x14ac:dyDescent="0.2">
      <c r="A481" s="3" t="s">
        <v>30</v>
      </c>
      <c r="B481" s="3" t="s">
        <v>31</v>
      </c>
      <c r="C481" s="3" t="s">
        <v>894</v>
      </c>
      <c r="D481" s="3" t="s">
        <v>895</v>
      </c>
      <c r="E481" s="3">
        <v>0</v>
      </c>
      <c r="F481" s="3">
        <v>1.2709999999999999</v>
      </c>
      <c r="G481" s="3">
        <v>3</v>
      </c>
      <c r="H481" s="3">
        <v>1</v>
      </c>
      <c r="I481" s="3">
        <v>1</v>
      </c>
      <c r="J481" s="3">
        <v>1</v>
      </c>
      <c r="K481" s="3">
        <v>1</v>
      </c>
      <c r="L481" s="3">
        <v>309</v>
      </c>
      <c r="M481" s="3">
        <v>35</v>
      </c>
      <c r="N481" s="3">
        <v>5.44</v>
      </c>
      <c r="O481" s="3">
        <v>0</v>
      </c>
      <c r="P481" s="3">
        <v>1</v>
      </c>
      <c r="Q481" s="3" t="s">
        <v>784</v>
      </c>
      <c r="R481" s="3" t="s">
        <v>34</v>
      </c>
      <c r="S481" s="3" t="s">
        <v>561</v>
      </c>
      <c r="T481" s="3" t="s">
        <v>896</v>
      </c>
      <c r="U481" s="3" t="s">
        <v>897</v>
      </c>
      <c r="V481" s="3" t="s">
        <v>898</v>
      </c>
      <c r="W481" s="3" t="s">
        <v>34</v>
      </c>
      <c r="X481" s="3" t="s">
        <v>899</v>
      </c>
      <c r="Y481" s="3" t="s">
        <v>34</v>
      </c>
      <c r="Z481" s="3" t="s">
        <v>34</v>
      </c>
      <c r="AA481" s="3">
        <v>0</v>
      </c>
      <c r="AB481" s="3" t="s">
        <v>30</v>
      </c>
      <c r="AC481" s="3">
        <v>1</v>
      </c>
      <c r="AD481" s="3" t="s">
        <v>900</v>
      </c>
    </row>
    <row r="482" spans="1:30" hidden="1" outlineLevel="1" collapsed="1" x14ac:dyDescent="0.2">
      <c r="A482" t="s">
        <v>34</v>
      </c>
      <c r="B482" s="2" t="s">
        <v>36</v>
      </c>
      <c r="C482" s="2" t="s">
        <v>37</v>
      </c>
      <c r="D482" s="2" t="s">
        <v>29</v>
      </c>
      <c r="E482" s="2" t="s">
        <v>38</v>
      </c>
      <c r="F482" s="2" t="s">
        <v>39</v>
      </c>
      <c r="G482" s="2" t="s">
        <v>28</v>
      </c>
      <c r="H482" s="2" t="s">
        <v>40</v>
      </c>
      <c r="I482" s="2" t="s">
        <v>8</v>
      </c>
      <c r="J482" s="2" t="s">
        <v>9</v>
      </c>
      <c r="K482" s="2" t="s">
        <v>41</v>
      </c>
      <c r="L482" s="2" t="s">
        <v>42</v>
      </c>
      <c r="M482" s="2" t="s">
        <v>43</v>
      </c>
      <c r="N482" s="2" t="s">
        <v>44</v>
      </c>
      <c r="O482" s="2" t="s">
        <v>45</v>
      </c>
      <c r="P482" s="2" t="s">
        <v>27</v>
      </c>
      <c r="Q482" s="2" t="s">
        <v>46</v>
      </c>
      <c r="R482" s="2" t="s">
        <v>47</v>
      </c>
      <c r="S482" s="2" t="s">
        <v>48</v>
      </c>
      <c r="T482" s="2" t="s">
        <v>49</v>
      </c>
    </row>
    <row r="483" spans="1:30" hidden="1" outlineLevel="1" collapsed="1" x14ac:dyDescent="0.2">
      <c r="A483" t="s">
        <v>34</v>
      </c>
      <c r="B483" s="4" t="s">
        <v>30</v>
      </c>
      <c r="C483" s="4" t="s">
        <v>901</v>
      </c>
      <c r="D483" s="4" t="s">
        <v>902</v>
      </c>
      <c r="E483" s="4">
        <v>0.111039</v>
      </c>
      <c r="F483" s="4">
        <v>3.7876699999999999E-3</v>
      </c>
      <c r="G483" s="4">
        <v>1</v>
      </c>
      <c r="H483" s="4">
        <v>1</v>
      </c>
      <c r="I483" s="4">
        <v>1</v>
      </c>
      <c r="J483" s="4">
        <v>1</v>
      </c>
      <c r="K483" s="4" t="s">
        <v>894</v>
      </c>
      <c r="L483" s="4" t="s">
        <v>903</v>
      </c>
      <c r="M483" s="4" t="s">
        <v>904</v>
      </c>
      <c r="N483" s="4">
        <v>0</v>
      </c>
      <c r="O483" s="4">
        <v>854.43831</v>
      </c>
      <c r="P483" s="4" t="s">
        <v>30</v>
      </c>
      <c r="Q483" s="4" t="s">
        <v>30</v>
      </c>
      <c r="R483" s="4">
        <v>1.7669999999999999E-3</v>
      </c>
      <c r="S483" s="4">
        <v>5.3620000000000001E-2</v>
      </c>
      <c r="T483" s="4">
        <v>0.6</v>
      </c>
    </row>
    <row r="484" spans="1:30" collapsed="1" x14ac:dyDescent="0.2">
      <c r="A484" s="3" t="s">
        <v>30</v>
      </c>
      <c r="B484" s="3" t="s">
        <v>31</v>
      </c>
      <c r="C484" s="3" t="s">
        <v>216</v>
      </c>
      <c r="D484" s="3" t="s">
        <v>905</v>
      </c>
      <c r="E484" s="3">
        <v>0</v>
      </c>
      <c r="F484" s="3">
        <v>1.2330000000000001</v>
      </c>
      <c r="G484" s="3">
        <v>3</v>
      </c>
      <c r="H484" s="3">
        <v>1</v>
      </c>
      <c r="I484" s="3">
        <v>1</v>
      </c>
      <c r="J484" s="3">
        <v>1</v>
      </c>
      <c r="K484" s="3">
        <v>1</v>
      </c>
      <c r="L484" s="3">
        <v>526</v>
      </c>
      <c r="M484" s="3">
        <v>59.6</v>
      </c>
      <c r="N484" s="3">
        <v>7.39</v>
      </c>
      <c r="O484" s="3">
        <v>1.8</v>
      </c>
      <c r="P484" s="3">
        <v>1</v>
      </c>
      <c r="Q484" s="3" t="s">
        <v>34</v>
      </c>
      <c r="R484" s="3" t="s">
        <v>34</v>
      </c>
      <c r="S484" s="3" t="s">
        <v>34</v>
      </c>
      <c r="T484" s="3" t="s">
        <v>34</v>
      </c>
      <c r="U484" s="3" t="s">
        <v>34</v>
      </c>
      <c r="V484" s="3" t="s">
        <v>216</v>
      </c>
      <c r="W484" s="3" t="s">
        <v>34</v>
      </c>
      <c r="X484" s="3" t="s">
        <v>34</v>
      </c>
      <c r="Y484" s="3" t="s">
        <v>34</v>
      </c>
      <c r="Z484" s="3" t="s">
        <v>34</v>
      </c>
      <c r="AA484" s="3">
        <v>0</v>
      </c>
      <c r="AB484" s="3" t="s">
        <v>30</v>
      </c>
      <c r="AC484" s="3">
        <v>1</v>
      </c>
      <c r="AD484" s="3" t="s">
        <v>34</v>
      </c>
    </row>
    <row r="485" spans="1:30" hidden="1" outlineLevel="1" collapsed="1" x14ac:dyDescent="0.2">
      <c r="A485" t="s">
        <v>34</v>
      </c>
      <c r="B485" s="2" t="s">
        <v>36</v>
      </c>
      <c r="C485" s="2" t="s">
        <v>37</v>
      </c>
      <c r="D485" s="2" t="s">
        <v>29</v>
      </c>
      <c r="E485" s="2" t="s">
        <v>38</v>
      </c>
      <c r="F485" s="2" t="s">
        <v>39</v>
      </c>
      <c r="G485" s="2" t="s">
        <v>28</v>
      </c>
      <c r="H485" s="2" t="s">
        <v>40</v>
      </c>
      <c r="I485" s="2" t="s">
        <v>8</v>
      </c>
      <c r="J485" s="2" t="s">
        <v>9</v>
      </c>
      <c r="K485" s="2" t="s">
        <v>41</v>
      </c>
      <c r="L485" s="2" t="s">
        <v>42</v>
      </c>
      <c r="M485" s="2" t="s">
        <v>43</v>
      </c>
      <c r="N485" s="2" t="s">
        <v>44</v>
      </c>
      <c r="O485" s="2" t="s">
        <v>45</v>
      </c>
      <c r="P485" s="2" t="s">
        <v>27</v>
      </c>
      <c r="Q485" s="2" t="s">
        <v>46</v>
      </c>
      <c r="R485" s="2" t="s">
        <v>47</v>
      </c>
      <c r="S485" s="2" t="s">
        <v>48</v>
      </c>
      <c r="T485" s="2" t="s">
        <v>49</v>
      </c>
    </row>
    <row r="486" spans="1:30" hidden="1" outlineLevel="1" collapsed="1" x14ac:dyDescent="0.2">
      <c r="A486" t="s">
        <v>34</v>
      </c>
      <c r="B486" s="4" t="s">
        <v>30</v>
      </c>
      <c r="C486" s="4" t="s">
        <v>906</v>
      </c>
      <c r="D486" s="4" t="s">
        <v>34</v>
      </c>
      <c r="E486" s="4">
        <v>0.12012100000000001</v>
      </c>
      <c r="F486" s="4">
        <v>3.7876699999999999E-3</v>
      </c>
      <c r="G486" s="4">
        <v>1</v>
      </c>
      <c r="H486" s="4">
        <v>1</v>
      </c>
      <c r="I486" s="4">
        <v>1</v>
      </c>
      <c r="J486" s="4">
        <v>1</v>
      </c>
      <c r="K486" s="4" t="s">
        <v>216</v>
      </c>
      <c r="L486" s="4" t="s">
        <v>907</v>
      </c>
      <c r="M486" s="4" t="s">
        <v>34</v>
      </c>
      <c r="N486" s="4">
        <v>0</v>
      </c>
      <c r="O486" s="4">
        <v>1414.7172499999999</v>
      </c>
      <c r="P486" s="4" t="s">
        <v>30</v>
      </c>
      <c r="Q486" s="4" t="s">
        <v>30</v>
      </c>
      <c r="R486" s="4">
        <v>1.7669999999999999E-3</v>
      </c>
      <c r="S486" s="4">
        <v>5.8500000000000003E-2</v>
      </c>
      <c r="T486" s="4">
        <v>1.8</v>
      </c>
    </row>
    <row r="487" spans="1:30" collapsed="1" x14ac:dyDescent="0.2">
      <c r="A487" s="3" t="s">
        <v>30</v>
      </c>
      <c r="B487" s="3" t="s">
        <v>31</v>
      </c>
      <c r="C487" s="3" t="s">
        <v>908</v>
      </c>
      <c r="D487" s="3" t="s">
        <v>909</v>
      </c>
      <c r="E487" s="3">
        <v>0</v>
      </c>
      <c r="F487" s="3">
        <v>1.1990000000000001</v>
      </c>
      <c r="G487" s="3">
        <v>7</v>
      </c>
      <c r="H487" s="3">
        <v>1</v>
      </c>
      <c r="I487" s="3">
        <v>1</v>
      </c>
      <c r="J487" s="3">
        <v>1</v>
      </c>
      <c r="K487" s="3">
        <v>1</v>
      </c>
      <c r="L487" s="3">
        <v>131</v>
      </c>
      <c r="M487" s="3">
        <v>14.2</v>
      </c>
      <c r="N487" s="3">
        <v>10.07</v>
      </c>
      <c r="O487" s="3">
        <v>0</v>
      </c>
      <c r="P487" s="3">
        <v>1</v>
      </c>
      <c r="Q487" s="3" t="s">
        <v>336</v>
      </c>
      <c r="R487" s="3" t="s">
        <v>910</v>
      </c>
      <c r="S487" s="3" t="s">
        <v>883</v>
      </c>
      <c r="T487" s="3" t="s">
        <v>911</v>
      </c>
      <c r="U487" s="3" t="s">
        <v>912</v>
      </c>
      <c r="V487" s="3" t="s">
        <v>913</v>
      </c>
      <c r="W487" s="3" t="s">
        <v>34</v>
      </c>
      <c r="X487" s="3" t="s">
        <v>914</v>
      </c>
      <c r="Y487" s="3" t="s">
        <v>34</v>
      </c>
      <c r="Z487" s="3" t="s">
        <v>34</v>
      </c>
      <c r="AA487" s="3">
        <v>0</v>
      </c>
      <c r="AB487" s="3" t="s">
        <v>30</v>
      </c>
      <c r="AC487" s="3">
        <v>1</v>
      </c>
      <c r="AD487" s="3" t="s">
        <v>34</v>
      </c>
    </row>
    <row r="488" spans="1:30" hidden="1" outlineLevel="1" collapsed="1" x14ac:dyDescent="0.2">
      <c r="A488" t="s">
        <v>34</v>
      </c>
      <c r="B488" s="2" t="s">
        <v>36</v>
      </c>
      <c r="C488" s="2" t="s">
        <v>37</v>
      </c>
      <c r="D488" s="2" t="s">
        <v>29</v>
      </c>
      <c r="E488" s="2" t="s">
        <v>38</v>
      </c>
      <c r="F488" s="2" t="s">
        <v>39</v>
      </c>
      <c r="G488" s="2" t="s">
        <v>28</v>
      </c>
      <c r="H488" s="2" t="s">
        <v>40</v>
      </c>
      <c r="I488" s="2" t="s">
        <v>8</v>
      </c>
      <c r="J488" s="2" t="s">
        <v>9</v>
      </c>
      <c r="K488" s="2" t="s">
        <v>41</v>
      </c>
      <c r="L488" s="2" t="s">
        <v>42</v>
      </c>
      <c r="M488" s="2" t="s">
        <v>43</v>
      </c>
      <c r="N488" s="2" t="s">
        <v>44</v>
      </c>
      <c r="O488" s="2" t="s">
        <v>45</v>
      </c>
      <c r="P488" s="2" t="s">
        <v>27</v>
      </c>
      <c r="Q488" s="2" t="s">
        <v>46</v>
      </c>
      <c r="R488" s="2" t="s">
        <v>47</v>
      </c>
      <c r="S488" s="2" t="s">
        <v>48</v>
      </c>
      <c r="T488" s="2" t="s">
        <v>49</v>
      </c>
    </row>
    <row r="489" spans="1:30" hidden="1" outlineLevel="1" collapsed="1" x14ac:dyDescent="0.2">
      <c r="A489" t="s">
        <v>34</v>
      </c>
      <c r="B489" s="4" t="s">
        <v>30</v>
      </c>
      <c r="C489" s="4" t="s">
        <v>915</v>
      </c>
      <c r="D489" s="4" t="s">
        <v>34</v>
      </c>
      <c r="E489" s="4">
        <v>0.128112</v>
      </c>
      <c r="F489" s="4">
        <v>3.7876699999999999E-3</v>
      </c>
      <c r="G489" s="4">
        <v>1</v>
      </c>
      <c r="H489" s="4">
        <v>2</v>
      </c>
      <c r="I489" s="4">
        <v>1</v>
      </c>
      <c r="J489" s="4">
        <v>1</v>
      </c>
      <c r="K489" s="4" t="s">
        <v>908</v>
      </c>
      <c r="L489" s="4" t="s">
        <v>916</v>
      </c>
      <c r="M489" s="4" t="s">
        <v>34</v>
      </c>
      <c r="N489" s="4">
        <v>0</v>
      </c>
      <c r="O489" s="4">
        <v>953.60298999999998</v>
      </c>
      <c r="P489" s="4" t="s">
        <v>30</v>
      </c>
      <c r="Q489" s="4" t="s">
        <v>30</v>
      </c>
      <c r="R489" s="4">
        <v>1.7669999999999999E-3</v>
      </c>
      <c r="S489" s="4">
        <v>6.3299999999999995E-2</v>
      </c>
      <c r="T489" s="4">
        <v>1.1399999999999999</v>
      </c>
    </row>
    <row r="490" spans="1:30" collapsed="1" x14ac:dyDescent="0.2">
      <c r="A490" s="3" t="s">
        <v>30</v>
      </c>
      <c r="B490" s="3" t="s">
        <v>31</v>
      </c>
      <c r="C490" s="3" t="s">
        <v>917</v>
      </c>
      <c r="D490" s="3" t="s">
        <v>918</v>
      </c>
      <c r="E490" s="3">
        <v>0</v>
      </c>
      <c r="F490" s="3">
        <v>1.179</v>
      </c>
      <c r="G490" s="3">
        <v>2</v>
      </c>
      <c r="H490" s="3">
        <v>1</v>
      </c>
      <c r="I490" s="3">
        <v>1</v>
      </c>
      <c r="J490" s="3">
        <v>1</v>
      </c>
      <c r="K490" s="3">
        <v>1</v>
      </c>
      <c r="L490" s="3">
        <v>412</v>
      </c>
      <c r="M490" s="3">
        <v>47.4</v>
      </c>
      <c r="N490" s="3">
        <v>4.58</v>
      </c>
      <c r="O490" s="3">
        <v>0</v>
      </c>
      <c r="P490" s="3">
        <v>1</v>
      </c>
      <c r="Q490" s="3" t="s">
        <v>842</v>
      </c>
      <c r="R490" s="3" t="s">
        <v>910</v>
      </c>
      <c r="S490" s="3" t="s">
        <v>561</v>
      </c>
      <c r="T490" s="3" t="s">
        <v>34</v>
      </c>
      <c r="U490" s="3" t="s">
        <v>919</v>
      </c>
      <c r="V490" s="3" t="s">
        <v>920</v>
      </c>
      <c r="W490" s="3" t="s">
        <v>34</v>
      </c>
      <c r="X490" s="3" t="s">
        <v>921</v>
      </c>
      <c r="Y490" s="3" t="s">
        <v>922</v>
      </c>
      <c r="Z490" s="3" t="s">
        <v>34</v>
      </c>
      <c r="AA490" s="3">
        <v>1</v>
      </c>
      <c r="AB490" s="3" t="s">
        <v>30</v>
      </c>
      <c r="AC490" s="3">
        <v>1</v>
      </c>
      <c r="AD490" s="3" t="s">
        <v>34</v>
      </c>
    </row>
    <row r="491" spans="1:30" hidden="1" outlineLevel="1" collapsed="1" x14ac:dyDescent="0.2">
      <c r="A491" t="s">
        <v>34</v>
      </c>
      <c r="B491" s="2" t="s">
        <v>36</v>
      </c>
      <c r="C491" s="2" t="s">
        <v>37</v>
      </c>
      <c r="D491" s="2" t="s">
        <v>29</v>
      </c>
      <c r="E491" s="2" t="s">
        <v>38</v>
      </c>
      <c r="F491" s="2" t="s">
        <v>39</v>
      </c>
      <c r="G491" s="2" t="s">
        <v>28</v>
      </c>
      <c r="H491" s="2" t="s">
        <v>40</v>
      </c>
      <c r="I491" s="2" t="s">
        <v>8</v>
      </c>
      <c r="J491" s="2" t="s">
        <v>9</v>
      </c>
      <c r="K491" s="2" t="s">
        <v>41</v>
      </c>
      <c r="L491" s="2" t="s">
        <v>42</v>
      </c>
      <c r="M491" s="2" t="s">
        <v>43</v>
      </c>
      <c r="N491" s="2" t="s">
        <v>44</v>
      </c>
      <c r="O491" s="2" t="s">
        <v>45</v>
      </c>
      <c r="P491" s="2" t="s">
        <v>27</v>
      </c>
      <c r="Q491" s="2" t="s">
        <v>46</v>
      </c>
      <c r="R491" s="2" t="s">
        <v>47</v>
      </c>
      <c r="S491" s="2" t="s">
        <v>48</v>
      </c>
      <c r="T491" s="2" t="s">
        <v>49</v>
      </c>
    </row>
    <row r="492" spans="1:30" hidden="1" outlineLevel="1" collapsed="1" x14ac:dyDescent="0.2">
      <c r="A492" t="s">
        <v>34</v>
      </c>
      <c r="B492" s="4" t="s">
        <v>30</v>
      </c>
      <c r="C492" s="4" t="s">
        <v>923</v>
      </c>
      <c r="D492" s="4" t="s">
        <v>924</v>
      </c>
      <c r="E492" s="4">
        <v>0.13350400000000001</v>
      </c>
      <c r="F492" s="4">
        <v>3.7876699999999999E-3</v>
      </c>
      <c r="G492" s="4">
        <v>1</v>
      </c>
      <c r="H492" s="4">
        <v>1</v>
      </c>
      <c r="I492" s="4">
        <v>1</v>
      </c>
      <c r="J492" s="4">
        <v>1</v>
      </c>
      <c r="K492" s="4" t="s">
        <v>917</v>
      </c>
      <c r="L492" s="4" t="s">
        <v>925</v>
      </c>
      <c r="M492" s="4" t="s">
        <v>34</v>
      </c>
      <c r="N492" s="4">
        <v>0</v>
      </c>
      <c r="O492" s="4">
        <v>1047.4815599999999</v>
      </c>
      <c r="P492" s="4" t="s">
        <v>30</v>
      </c>
      <c r="Q492" s="4" t="s">
        <v>30</v>
      </c>
      <c r="R492" s="4">
        <v>1.7669999999999999E-3</v>
      </c>
      <c r="S492" s="4">
        <v>6.6239999999999993E-2</v>
      </c>
      <c r="T492" s="4">
        <v>0.81</v>
      </c>
    </row>
    <row r="493" spans="1:30" collapsed="1" x14ac:dyDescent="0.2">
      <c r="A493" s="3" t="s">
        <v>30</v>
      </c>
      <c r="B493" s="3" t="s">
        <v>31</v>
      </c>
      <c r="C493" s="3" t="s">
        <v>216</v>
      </c>
      <c r="D493" s="3" t="s">
        <v>926</v>
      </c>
      <c r="E493" s="3">
        <v>0</v>
      </c>
      <c r="F493" s="3">
        <v>1.151</v>
      </c>
      <c r="G493" s="3">
        <v>1</v>
      </c>
      <c r="H493" s="3">
        <v>1</v>
      </c>
      <c r="I493" s="3">
        <v>1</v>
      </c>
      <c r="J493" s="3">
        <v>1</v>
      </c>
      <c r="K493" s="3">
        <v>1</v>
      </c>
      <c r="L493" s="3">
        <v>609</v>
      </c>
      <c r="M493" s="3">
        <v>69.3</v>
      </c>
      <c r="N493" s="3">
        <v>6.28</v>
      </c>
      <c r="O493" s="3">
        <v>0</v>
      </c>
      <c r="P493" s="3">
        <v>1</v>
      </c>
      <c r="Q493" s="3" t="s">
        <v>702</v>
      </c>
      <c r="R493" s="3" t="s">
        <v>927</v>
      </c>
      <c r="S493" s="3" t="s">
        <v>883</v>
      </c>
      <c r="T493" s="3" t="s">
        <v>928</v>
      </c>
      <c r="U493" s="3" t="s">
        <v>929</v>
      </c>
      <c r="V493" s="3" t="s">
        <v>930</v>
      </c>
      <c r="W493" s="3" t="s">
        <v>931</v>
      </c>
      <c r="X493" s="3" t="s">
        <v>932</v>
      </c>
      <c r="Y493" s="3" t="s">
        <v>933</v>
      </c>
      <c r="Z493" s="3" t="s">
        <v>934</v>
      </c>
      <c r="AA493" s="3">
        <v>16</v>
      </c>
      <c r="AB493" s="3" t="s">
        <v>30</v>
      </c>
      <c r="AC493" s="3">
        <v>1</v>
      </c>
      <c r="AD493" s="3" t="s">
        <v>34</v>
      </c>
    </row>
    <row r="494" spans="1:30" hidden="1" outlineLevel="1" collapsed="1" x14ac:dyDescent="0.2">
      <c r="A494" t="s">
        <v>34</v>
      </c>
      <c r="B494" s="2" t="s">
        <v>36</v>
      </c>
      <c r="C494" s="2" t="s">
        <v>37</v>
      </c>
      <c r="D494" s="2" t="s">
        <v>29</v>
      </c>
      <c r="E494" s="2" t="s">
        <v>38</v>
      </c>
      <c r="F494" s="2" t="s">
        <v>39</v>
      </c>
      <c r="G494" s="2" t="s">
        <v>28</v>
      </c>
      <c r="H494" s="2" t="s">
        <v>40</v>
      </c>
      <c r="I494" s="2" t="s">
        <v>8</v>
      </c>
      <c r="J494" s="2" t="s">
        <v>9</v>
      </c>
      <c r="K494" s="2" t="s">
        <v>41</v>
      </c>
      <c r="L494" s="2" t="s">
        <v>42</v>
      </c>
      <c r="M494" s="2" t="s">
        <v>43</v>
      </c>
      <c r="N494" s="2" t="s">
        <v>44</v>
      </c>
      <c r="O494" s="2" t="s">
        <v>45</v>
      </c>
      <c r="P494" s="2" t="s">
        <v>27</v>
      </c>
      <c r="Q494" s="2" t="s">
        <v>46</v>
      </c>
      <c r="R494" s="2" t="s">
        <v>47</v>
      </c>
      <c r="S494" s="2" t="s">
        <v>48</v>
      </c>
      <c r="T494" s="2" t="s">
        <v>49</v>
      </c>
    </row>
    <row r="495" spans="1:30" hidden="1" outlineLevel="1" collapsed="1" x14ac:dyDescent="0.2">
      <c r="A495" t="s">
        <v>34</v>
      </c>
      <c r="B495" s="4" t="s">
        <v>30</v>
      </c>
      <c r="C495" s="4" t="s">
        <v>935</v>
      </c>
      <c r="D495" s="4" t="s">
        <v>34</v>
      </c>
      <c r="E495" s="4">
        <v>0.141015</v>
      </c>
      <c r="F495" s="4">
        <v>3.7876699999999999E-3</v>
      </c>
      <c r="G495" s="4">
        <v>1</v>
      </c>
      <c r="H495" s="4">
        <v>2</v>
      </c>
      <c r="I495" s="4">
        <v>1</v>
      </c>
      <c r="J495" s="4">
        <v>1</v>
      </c>
      <c r="K495" s="4" t="s">
        <v>216</v>
      </c>
      <c r="L495" s="4" t="s">
        <v>936</v>
      </c>
      <c r="M495" s="4" t="s">
        <v>34</v>
      </c>
      <c r="N495" s="4">
        <v>0</v>
      </c>
      <c r="O495" s="4">
        <v>927.49343999999996</v>
      </c>
      <c r="P495" s="4" t="s">
        <v>30</v>
      </c>
      <c r="Q495" s="4" t="s">
        <v>30</v>
      </c>
      <c r="R495" s="4">
        <v>1.7669999999999999E-3</v>
      </c>
      <c r="S495" s="4">
        <v>7.0690000000000003E-2</v>
      </c>
      <c r="T495" s="4">
        <v>1.29</v>
      </c>
    </row>
    <row r="496" spans="1:30" collapsed="1" x14ac:dyDescent="0.2">
      <c r="A496" s="3" t="s">
        <v>30</v>
      </c>
      <c r="B496" s="3" t="s">
        <v>31</v>
      </c>
      <c r="C496" s="3" t="s">
        <v>937</v>
      </c>
      <c r="D496" s="3" t="s">
        <v>938</v>
      </c>
      <c r="E496" s="3">
        <v>0</v>
      </c>
      <c r="F496" s="3">
        <v>1.1499999999999999</v>
      </c>
      <c r="G496" s="3">
        <v>5</v>
      </c>
      <c r="H496" s="3">
        <v>1</v>
      </c>
      <c r="I496" s="3">
        <v>1</v>
      </c>
      <c r="J496" s="3">
        <v>1</v>
      </c>
      <c r="K496" s="3">
        <v>1</v>
      </c>
      <c r="L496" s="3">
        <v>422</v>
      </c>
      <c r="M496" s="3">
        <v>48</v>
      </c>
      <c r="N496" s="3">
        <v>6.44</v>
      </c>
      <c r="O496" s="3">
        <v>0</v>
      </c>
      <c r="P496" s="3">
        <v>1</v>
      </c>
      <c r="Q496" s="3" t="s">
        <v>34</v>
      </c>
      <c r="R496" s="3" t="s">
        <v>34</v>
      </c>
      <c r="S496" s="3" t="s">
        <v>34</v>
      </c>
      <c r="T496" s="3" t="s">
        <v>34</v>
      </c>
      <c r="U496" s="3" t="s">
        <v>34</v>
      </c>
      <c r="V496" s="3" t="s">
        <v>937</v>
      </c>
      <c r="W496" s="3" t="s">
        <v>34</v>
      </c>
      <c r="X496" s="3" t="s">
        <v>34</v>
      </c>
      <c r="Y496" s="3" t="s">
        <v>34</v>
      </c>
      <c r="Z496" s="3" t="s">
        <v>34</v>
      </c>
      <c r="AA496" s="3">
        <v>0</v>
      </c>
      <c r="AB496" s="3" t="s">
        <v>30</v>
      </c>
      <c r="AC496" s="3">
        <v>1</v>
      </c>
      <c r="AD496" s="3" t="s">
        <v>34</v>
      </c>
    </row>
    <row r="497" spans="1:30" hidden="1" outlineLevel="1" collapsed="1" x14ac:dyDescent="0.2">
      <c r="A497" t="s">
        <v>34</v>
      </c>
      <c r="B497" s="2" t="s">
        <v>36</v>
      </c>
      <c r="C497" s="2" t="s">
        <v>37</v>
      </c>
      <c r="D497" s="2" t="s">
        <v>29</v>
      </c>
      <c r="E497" s="2" t="s">
        <v>38</v>
      </c>
      <c r="F497" s="2" t="s">
        <v>39</v>
      </c>
      <c r="G497" s="2" t="s">
        <v>28</v>
      </c>
      <c r="H497" s="2" t="s">
        <v>40</v>
      </c>
      <c r="I497" s="2" t="s">
        <v>8</v>
      </c>
      <c r="J497" s="2" t="s">
        <v>9</v>
      </c>
      <c r="K497" s="2" t="s">
        <v>41</v>
      </c>
      <c r="L497" s="2" t="s">
        <v>42</v>
      </c>
      <c r="M497" s="2" t="s">
        <v>43</v>
      </c>
      <c r="N497" s="2" t="s">
        <v>44</v>
      </c>
      <c r="O497" s="2" t="s">
        <v>45</v>
      </c>
      <c r="P497" s="2" t="s">
        <v>27</v>
      </c>
      <c r="Q497" s="2" t="s">
        <v>46</v>
      </c>
      <c r="R497" s="2" t="s">
        <v>47</v>
      </c>
      <c r="S497" s="2" t="s">
        <v>48</v>
      </c>
      <c r="T497" s="2" t="s">
        <v>49</v>
      </c>
    </row>
    <row r="498" spans="1:30" hidden="1" outlineLevel="1" collapsed="1" x14ac:dyDescent="0.2">
      <c r="A498" t="s">
        <v>34</v>
      </c>
      <c r="B498" s="4" t="s">
        <v>30</v>
      </c>
      <c r="C498" s="4" t="s">
        <v>939</v>
      </c>
      <c r="D498" s="4" t="s">
        <v>61</v>
      </c>
      <c r="E498" s="4">
        <v>0.14165700000000001</v>
      </c>
      <c r="F498" s="4">
        <v>7.4059499999999997E-3</v>
      </c>
      <c r="G498" s="4">
        <v>1</v>
      </c>
      <c r="H498" s="4">
        <v>2</v>
      </c>
      <c r="I498" s="4">
        <v>1</v>
      </c>
      <c r="J498" s="4">
        <v>1</v>
      </c>
      <c r="K498" s="4" t="s">
        <v>937</v>
      </c>
      <c r="L498" s="4" t="s">
        <v>940</v>
      </c>
      <c r="M498" s="4" t="s">
        <v>34</v>
      </c>
      <c r="N498" s="4">
        <v>0</v>
      </c>
      <c r="O498" s="4">
        <v>1964.8978099999999</v>
      </c>
      <c r="P498" s="4" t="s">
        <v>30</v>
      </c>
      <c r="Q498" s="4" t="s">
        <v>30</v>
      </c>
      <c r="R498" s="4">
        <v>1.7669999999999999E-3</v>
      </c>
      <c r="S498" s="4">
        <v>7.084E-2</v>
      </c>
      <c r="T498" s="4">
        <v>1.9</v>
      </c>
    </row>
    <row r="499" spans="1:30" collapsed="1" x14ac:dyDescent="0.2">
      <c r="A499" s="3" t="s">
        <v>941</v>
      </c>
      <c r="B499" s="3" t="s">
        <v>31</v>
      </c>
      <c r="C499" s="3" t="s">
        <v>942</v>
      </c>
      <c r="D499" s="3" t="s">
        <v>943</v>
      </c>
      <c r="E499" s="3">
        <v>0.01</v>
      </c>
      <c r="F499" s="3">
        <v>1.1040000000000001</v>
      </c>
      <c r="G499" s="3">
        <v>4</v>
      </c>
      <c r="H499" s="3">
        <v>1</v>
      </c>
      <c r="I499" s="3">
        <v>1</v>
      </c>
      <c r="J499" s="3">
        <v>1</v>
      </c>
      <c r="K499" s="3">
        <v>1</v>
      </c>
      <c r="L499" s="3">
        <v>487</v>
      </c>
      <c r="M499" s="3">
        <v>55.3</v>
      </c>
      <c r="N499" s="3">
        <v>4.97</v>
      </c>
      <c r="O499" s="3">
        <v>2.69</v>
      </c>
      <c r="P499" s="3">
        <v>1</v>
      </c>
      <c r="Q499" s="3" t="s">
        <v>944</v>
      </c>
      <c r="R499" s="3" t="s">
        <v>945</v>
      </c>
      <c r="S499" s="3" t="s">
        <v>883</v>
      </c>
      <c r="T499" s="3" t="s">
        <v>946</v>
      </c>
      <c r="U499" s="3" t="s">
        <v>947</v>
      </c>
      <c r="V499" s="3" t="s">
        <v>948</v>
      </c>
      <c r="W499" s="3" t="s">
        <v>34</v>
      </c>
      <c r="X499" s="3" t="s">
        <v>949</v>
      </c>
      <c r="Y499" s="3" t="s">
        <v>950</v>
      </c>
      <c r="Z499" s="3" t="s">
        <v>951</v>
      </c>
      <c r="AA499" s="3">
        <v>3</v>
      </c>
      <c r="AB499" s="3" t="s">
        <v>30</v>
      </c>
      <c r="AC499" s="3">
        <v>1</v>
      </c>
      <c r="AD499" s="3" t="s">
        <v>34</v>
      </c>
    </row>
    <row r="500" spans="1:30" hidden="1" outlineLevel="1" collapsed="1" x14ac:dyDescent="0.2">
      <c r="A500" t="s">
        <v>34</v>
      </c>
      <c r="B500" s="2" t="s">
        <v>36</v>
      </c>
      <c r="C500" s="2" t="s">
        <v>37</v>
      </c>
      <c r="D500" s="2" t="s">
        <v>29</v>
      </c>
      <c r="E500" s="2" t="s">
        <v>38</v>
      </c>
      <c r="F500" s="2" t="s">
        <v>39</v>
      </c>
      <c r="G500" s="2" t="s">
        <v>28</v>
      </c>
      <c r="H500" s="2" t="s">
        <v>40</v>
      </c>
      <c r="I500" s="2" t="s">
        <v>8</v>
      </c>
      <c r="J500" s="2" t="s">
        <v>9</v>
      </c>
      <c r="K500" s="2" t="s">
        <v>41</v>
      </c>
      <c r="L500" s="2" t="s">
        <v>42</v>
      </c>
      <c r="M500" s="2" t="s">
        <v>43</v>
      </c>
      <c r="N500" s="2" t="s">
        <v>44</v>
      </c>
      <c r="O500" s="2" t="s">
        <v>45</v>
      </c>
      <c r="P500" s="2" t="s">
        <v>27</v>
      </c>
      <c r="Q500" s="2" t="s">
        <v>46</v>
      </c>
      <c r="R500" s="2" t="s">
        <v>47</v>
      </c>
      <c r="S500" s="2" t="s">
        <v>48</v>
      </c>
      <c r="T500" s="2" t="s">
        <v>49</v>
      </c>
    </row>
    <row r="501" spans="1:30" hidden="1" outlineLevel="1" collapsed="1" x14ac:dyDescent="0.2">
      <c r="A501" t="s">
        <v>34</v>
      </c>
      <c r="B501" s="4" t="s">
        <v>30</v>
      </c>
      <c r="C501" s="4" t="s">
        <v>952</v>
      </c>
      <c r="D501" s="4" t="s">
        <v>953</v>
      </c>
      <c r="E501" s="4">
        <v>0.15507799999999999</v>
      </c>
      <c r="F501" s="4">
        <v>7.4059499999999997E-3</v>
      </c>
      <c r="G501" s="4">
        <v>1</v>
      </c>
      <c r="H501" s="4">
        <v>1</v>
      </c>
      <c r="I501" s="4">
        <v>1</v>
      </c>
      <c r="J501" s="4">
        <v>1</v>
      </c>
      <c r="K501" s="4" t="s">
        <v>942</v>
      </c>
      <c r="L501" s="4" t="s">
        <v>954</v>
      </c>
      <c r="M501" s="4" t="s">
        <v>34</v>
      </c>
      <c r="N501" s="4">
        <v>1</v>
      </c>
      <c r="O501" s="4">
        <v>2423.1143400000001</v>
      </c>
      <c r="P501" s="4" t="s">
        <v>30</v>
      </c>
      <c r="Q501" s="4" t="s">
        <v>30</v>
      </c>
      <c r="R501" s="4">
        <v>3.356E-3</v>
      </c>
      <c r="S501" s="4">
        <v>7.8780000000000003E-2</v>
      </c>
      <c r="T501" s="4">
        <v>2.69</v>
      </c>
    </row>
    <row r="502" spans="1:30" x14ac:dyDescent="0.2">
      <c r="A502" s="3" t="s">
        <v>941</v>
      </c>
      <c r="B502" s="3" t="s">
        <v>31</v>
      </c>
      <c r="C502" s="3" t="s">
        <v>955</v>
      </c>
      <c r="D502" s="3" t="s">
        <v>956</v>
      </c>
      <c r="E502" s="3">
        <v>0.02</v>
      </c>
      <c r="F502" s="3">
        <v>1.079</v>
      </c>
      <c r="G502" s="3">
        <v>4</v>
      </c>
      <c r="H502" s="3">
        <v>1</v>
      </c>
      <c r="I502" s="3">
        <v>1</v>
      </c>
      <c r="J502" s="3">
        <v>1</v>
      </c>
      <c r="K502" s="3">
        <v>1</v>
      </c>
      <c r="L502" s="3">
        <v>306</v>
      </c>
      <c r="M502" s="3">
        <v>35.9</v>
      </c>
      <c r="N502" s="3">
        <v>7.28</v>
      </c>
      <c r="O502" s="3">
        <v>0</v>
      </c>
      <c r="P502" s="3">
        <v>1</v>
      </c>
      <c r="Q502" s="3" t="s">
        <v>34</v>
      </c>
      <c r="R502" s="3" t="s">
        <v>34</v>
      </c>
      <c r="S502" s="3" t="s">
        <v>34</v>
      </c>
      <c r="T502" s="3" t="s">
        <v>34</v>
      </c>
      <c r="U502" s="3" t="s">
        <v>957</v>
      </c>
      <c r="V502" s="3" t="s">
        <v>958</v>
      </c>
      <c r="W502" s="3" t="s">
        <v>34</v>
      </c>
      <c r="X502" s="3" t="s">
        <v>955</v>
      </c>
      <c r="Y502" s="3" t="s">
        <v>34</v>
      </c>
      <c r="Z502" s="3" t="s">
        <v>34</v>
      </c>
      <c r="AA502" s="3">
        <v>0</v>
      </c>
      <c r="AB502" s="3" t="s">
        <v>30</v>
      </c>
      <c r="AC502" s="3">
        <v>1</v>
      </c>
      <c r="AD502" s="3" t="s">
        <v>34</v>
      </c>
    </row>
    <row r="503" spans="1:30" hidden="1" outlineLevel="1" collapsed="1" x14ac:dyDescent="0.2">
      <c r="A503" t="s">
        <v>34</v>
      </c>
      <c r="B503" s="2" t="s">
        <v>36</v>
      </c>
      <c r="C503" s="2" t="s">
        <v>37</v>
      </c>
      <c r="D503" s="2" t="s">
        <v>29</v>
      </c>
      <c r="E503" s="2" t="s">
        <v>38</v>
      </c>
      <c r="F503" s="2" t="s">
        <v>39</v>
      </c>
      <c r="G503" s="2" t="s">
        <v>28</v>
      </c>
      <c r="H503" s="2" t="s">
        <v>40</v>
      </c>
      <c r="I503" s="2" t="s">
        <v>8</v>
      </c>
      <c r="J503" s="2" t="s">
        <v>9</v>
      </c>
      <c r="K503" s="2" t="s">
        <v>41</v>
      </c>
      <c r="L503" s="2" t="s">
        <v>42</v>
      </c>
      <c r="M503" s="2" t="s">
        <v>43</v>
      </c>
      <c r="N503" s="2" t="s">
        <v>44</v>
      </c>
      <c r="O503" s="2" t="s">
        <v>45</v>
      </c>
      <c r="P503" s="2" t="s">
        <v>27</v>
      </c>
      <c r="Q503" s="2" t="s">
        <v>46</v>
      </c>
      <c r="R503" s="2" t="s">
        <v>47</v>
      </c>
      <c r="S503" s="2" t="s">
        <v>48</v>
      </c>
      <c r="T503" s="2" t="s">
        <v>49</v>
      </c>
    </row>
    <row r="504" spans="1:30" hidden="1" outlineLevel="1" collapsed="1" x14ac:dyDescent="0.2">
      <c r="A504" t="s">
        <v>34</v>
      </c>
      <c r="B504" s="4" t="s">
        <v>30</v>
      </c>
      <c r="C504" s="4" t="s">
        <v>959</v>
      </c>
      <c r="D504" s="4" t="s">
        <v>34</v>
      </c>
      <c r="E504" s="4">
        <v>0.16293199999999999</v>
      </c>
      <c r="F504" s="4">
        <v>9.5666499999999995E-3</v>
      </c>
      <c r="G504" s="4">
        <v>1</v>
      </c>
      <c r="H504" s="4">
        <v>1</v>
      </c>
      <c r="I504" s="4">
        <v>1</v>
      </c>
      <c r="J504" s="4">
        <v>1</v>
      </c>
      <c r="K504" s="4" t="s">
        <v>955</v>
      </c>
      <c r="L504" s="4" t="s">
        <v>960</v>
      </c>
      <c r="M504" s="4" t="s">
        <v>34</v>
      </c>
      <c r="N504" s="4">
        <v>0</v>
      </c>
      <c r="O504" s="4">
        <v>1400.64158</v>
      </c>
      <c r="P504" s="4" t="s">
        <v>30</v>
      </c>
      <c r="Q504" s="4" t="s">
        <v>30</v>
      </c>
      <c r="R504" s="4">
        <v>4.1380000000000002E-3</v>
      </c>
      <c r="S504" s="4">
        <v>8.344E-2</v>
      </c>
      <c r="T504" s="4">
        <v>0.96</v>
      </c>
    </row>
    <row r="505" spans="1:30" x14ac:dyDescent="0.2">
      <c r="A505" s="3" t="s">
        <v>941</v>
      </c>
      <c r="B505" s="3" t="s">
        <v>31</v>
      </c>
      <c r="C505" s="3" t="s">
        <v>961</v>
      </c>
      <c r="D505" s="3" t="s">
        <v>962</v>
      </c>
      <c r="E505" s="3">
        <v>0.02</v>
      </c>
      <c r="F505" s="3">
        <v>1.0780000000000001</v>
      </c>
      <c r="G505" s="3">
        <v>2</v>
      </c>
      <c r="H505" s="3">
        <v>1</v>
      </c>
      <c r="I505" s="3">
        <v>1</v>
      </c>
      <c r="J505" s="3">
        <v>1</v>
      </c>
      <c r="K505" s="3">
        <v>1</v>
      </c>
      <c r="L505" s="3">
        <v>642</v>
      </c>
      <c r="M505" s="3">
        <v>69.599999999999994</v>
      </c>
      <c r="N505" s="3">
        <v>5.1100000000000003</v>
      </c>
      <c r="O505" s="3">
        <v>0</v>
      </c>
      <c r="P505" s="3">
        <v>1</v>
      </c>
      <c r="Q505" s="3" t="s">
        <v>963</v>
      </c>
      <c r="R505" s="3" t="s">
        <v>964</v>
      </c>
      <c r="S505" s="3" t="s">
        <v>883</v>
      </c>
      <c r="T505" s="3" t="s">
        <v>965</v>
      </c>
      <c r="U505" s="3" t="s">
        <v>966</v>
      </c>
      <c r="V505" s="3" t="s">
        <v>967</v>
      </c>
      <c r="W505" s="3" t="s">
        <v>34</v>
      </c>
      <c r="X505" s="3" t="s">
        <v>968</v>
      </c>
      <c r="Y505" s="3" t="s">
        <v>969</v>
      </c>
      <c r="Z505" s="3" t="s">
        <v>34</v>
      </c>
      <c r="AA505" s="3">
        <v>3</v>
      </c>
      <c r="AB505" s="3" t="s">
        <v>30</v>
      </c>
      <c r="AC505" s="3">
        <v>1</v>
      </c>
      <c r="AD505" s="3" t="s">
        <v>34</v>
      </c>
    </row>
    <row r="506" spans="1:30" hidden="1" outlineLevel="1" collapsed="1" x14ac:dyDescent="0.2">
      <c r="A506" t="s">
        <v>34</v>
      </c>
      <c r="B506" s="2" t="s">
        <v>36</v>
      </c>
      <c r="C506" s="2" t="s">
        <v>37</v>
      </c>
      <c r="D506" s="2" t="s">
        <v>29</v>
      </c>
      <c r="E506" s="2" t="s">
        <v>38</v>
      </c>
      <c r="F506" s="2" t="s">
        <v>39</v>
      </c>
      <c r="G506" s="2" t="s">
        <v>28</v>
      </c>
      <c r="H506" s="2" t="s">
        <v>40</v>
      </c>
      <c r="I506" s="2" t="s">
        <v>8</v>
      </c>
      <c r="J506" s="2" t="s">
        <v>9</v>
      </c>
      <c r="K506" s="2" t="s">
        <v>41</v>
      </c>
      <c r="L506" s="2" t="s">
        <v>42</v>
      </c>
      <c r="M506" s="2" t="s">
        <v>43</v>
      </c>
      <c r="N506" s="2" t="s">
        <v>44</v>
      </c>
      <c r="O506" s="2" t="s">
        <v>45</v>
      </c>
      <c r="P506" s="2" t="s">
        <v>27</v>
      </c>
      <c r="Q506" s="2" t="s">
        <v>46</v>
      </c>
      <c r="R506" s="2" t="s">
        <v>47</v>
      </c>
      <c r="S506" s="2" t="s">
        <v>48</v>
      </c>
      <c r="T506" s="2" t="s">
        <v>49</v>
      </c>
    </row>
    <row r="507" spans="1:30" hidden="1" outlineLevel="1" collapsed="1" x14ac:dyDescent="0.2">
      <c r="A507" t="s">
        <v>34</v>
      </c>
      <c r="B507" s="4" t="s">
        <v>30</v>
      </c>
      <c r="C507" s="4" t="s">
        <v>970</v>
      </c>
      <c r="D507" s="4" t="s">
        <v>34</v>
      </c>
      <c r="E507" s="4">
        <v>0.16293199999999999</v>
      </c>
      <c r="F507" s="4">
        <v>9.5666499999999995E-3</v>
      </c>
      <c r="G507" s="4">
        <v>1</v>
      </c>
      <c r="H507" s="4">
        <v>2</v>
      </c>
      <c r="I507" s="4">
        <v>1</v>
      </c>
      <c r="J507" s="4">
        <v>1</v>
      </c>
      <c r="K507" s="4" t="s">
        <v>961</v>
      </c>
      <c r="L507" s="4" t="s">
        <v>971</v>
      </c>
      <c r="M507" s="4" t="s">
        <v>34</v>
      </c>
      <c r="N507" s="4">
        <v>0</v>
      </c>
      <c r="O507" s="4">
        <v>1068.5207800000001</v>
      </c>
      <c r="P507" s="4" t="s">
        <v>30</v>
      </c>
      <c r="Q507" s="4" t="s">
        <v>30</v>
      </c>
      <c r="R507" s="4">
        <v>4.1380000000000002E-3</v>
      </c>
      <c r="S507" s="4">
        <v>8.3519999999999997E-2</v>
      </c>
      <c r="T507" s="4">
        <v>0.91</v>
      </c>
    </row>
    <row r="508" spans="1:30" x14ac:dyDescent="0.2">
      <c r="A508" s="3" t="s">
        <v>941</v>
      </c>
      <c r="B508" s="3" t="s">
        <v>31</v>
      </c>
      <c r="C508" s="3" t="s">
        <v>972</v>
      </c>
      <c r="D508" s="3" t="s">
        <v>973</v>
      </c>
      <c r="E508" s="3">
        <v>1.9E-2</v>
      </c>
      <c r="F508" s="3">
        <v>1.0429999999999999</v>
      </c>
      <c r="G508" s="3">
        <v>1</v>
      </c>
      <c r="H508" s="3">
        <v>1</v>
      </c>
      <c r="I508" s="3">
        <v>1</v>
      </c>
      <c r="J508" s="3">
        <v>1</v>
      </c>
      <c r="K508" s="3">
        <v>1</v>
      </c>
      <c r="L508" s="3">
        <v>870</v>
      </c>
      <c r="M508" s="3">
        <v>96.1</v>
      </c>
      <c r="N508" s="3">
        <v>8.59</v>
      </c>
      <c r="O508" s="3">
        <v>1.66</v>
      </c>
      <c r="P508" s="3">
        <v>1</v>
      </c>
      <c r="Q508" s="3" t="s">
        <v>129</v>
      </c>
      <c r="R508" s="3" t="s">
        <v>974</v>
      </c>
      <c r="S508" s="3" t="s">
        <v>975</v>
      </c>
      <c r="T508" s="3" t="s">
        <v>976</v>
      </c>
      <c r="U508" s="3" t="s">
        <v>977</v>
      </c>
      <c r="V508" s="3" t="s">
        <v>978</v>
      </c>
      <c r="W508" s="3" t="s">
        <v>34</v>
      </c>
      <c r="X508" s="3" t="s">
        <v>979</v>
      </c>
      <c r="Y508" s="3" t="s">
        <v>980</v>
      </c>
      <c r="Z508" s="3" t="s">
        <v>34</v>
      </c>
      <c r="AA508" s="3">
        <v>1</v>
      </c>
      <c r="AB508" s="3" t="s">
        <v>30</v>
      </c>
      <c r="AC508" s="3">
        <v>1</v>
      </c>
      <c r="AD508" s="3" t="s">
        <v>34</v>
      </c>
    </row>
    <row r="509" spans="1:30" hidden="1" outlineLevel="1" collapsed="1" x14ac:dyDescent="0.2">
      <c r="A509" t="s">
        <v>34</v>
      </c>
      <c r="B509" s="2" t="s">
        <v>36</v>
      </c>
      <c r="C509" s="2" t="s">
        <v>37</v>
      </c>
      <c r="D509" s="2" t="s">
        <v>29</v>
      </c>
      <c r="E509" s="2" t="s">
        <v>38</v>
      </c>
      <c r="F509" s="2" t="s">
        <v>39</v>
      </c>
      <c r="G509" s="2" t="s">
        <v>28</v>
      </c>
      <c r="H509" s="2" t="s">
        <v>40</v>
      </c>
      <c r="I509" s="2" t="s">
        <v>8</v>
      </c>
      <c r="J509" s="2" t="s">
        <v>9</v>
      </c>
      <c r="K509" s="2" t="s">
        <v>41</v>
      </c>
      <c r="L509" s="2" t="s">
        <v>42</v>
      </c>
      <c r="M509" s="2" t="s">
        <v>43</v>
      </c>
      <c r="N509" s="2" t="s">
        <v>44</v>
      </c>
      <c r="O509" s="2" t="s">
        <v>45</v>
      </c>
      <c r="P509" s="2" t="s">
        <v>27</v>
      </c>
      <c r="Q509" s="2" t="s">
        <v>46</v>
      </c>
      <c r="R509" s="2" t="s">
        <v>47</v>
      </c>
      <c r="S509" s="2" t="s">
        <v>48</v>
      </c>
      <c r="T509" s="2" t="s">
        <v>49</v>
      </c>
    </row>
    <row r="510" spans="1:30" hidden="1" outlineLevel="1" collapsed="1" x14ac:dyDescent="0.2">
      <c r="A510" t="s">
        <v>34</v>
      </c>
      <c r="B510" s="4" t="s">
        <v>30</v>
      </c>
      <c r="C510" s="4" t="s">
        <v>981</v>
      </c>
      <c r="D510" s="4" t="s">
        <v>34</v>
      </c>
      <c r="E510" s="4">
        <v>0.17497699999999999</v>
      </c>
      <c r="F510" s="4">
        <v>9.5666499999999995E-3</v>
      </c>
      <c r="G510" s="4">
        <v>1</v>
      </c>
      <c r="H510" s="4">
        <v>1</v>
      </c>
      <c r="I510" s="4">
        <v>1</v>
      </c>
      <c r="J510" s="4">
        <v>1</v>
      </c>
      <c r="K510" s="4" t="s">
        <v>972</v>
      </c>
      <c r="L510" s="4" t="s">
        <v>982</v>
      </c>
      <c r="M510" s="4" t="s">
        <v>34</v>
      </c>
      <c r="N510" s="4">
        <v>0</v>
      </c>
      <c r="O510" s="4">
        <v>1166.56879</v>
      </c>
      <c r="P510" s="4" t="s">
        <v>30</v>
      </c>
      <c r="Q510" s="4" t="s">
        <v>30</v>
      </c>
      <c r="R510" s="4">
        <v>4.1380000000000002E-3</v>
      </c>
      <c r="S510" s="4">
        <v>9.0529999999999999E-2</v>
      </c>
      <c r="T510" s="4">
        <v>1.66</v>
      </c>
    </row>
    <row r="511" spans="1:30" x14ac:dyDescent="0.2">
      <c r="A511" s="3" t="s">
        <v>941</v>
      </c>
      <c r="B511" s="3" t="s">
        <v>31</v>
      </c>
      <c r="C511" s="3" t="s">
        <v>216</v>
      </c>
      <c r="D511" s="3" t="s">
        <v>983</v>
      </c>
      <c r="E511" s="3">
        <v>1.9E-2</v>
      </c>
      <c r="F511" s="3">
        <v>1.0389999999999999</v>
      </c>
      <c r="G511" s="3">
        <v>8</v>
      </c>
      <c r="H511" s="3">
        <v>1</v>
      </c>
      <c r="I511" s="3">
        <v>1</v>
      </c>
      <c r="J511" s="3">
        <v>1</v>
      </c>
      <c r="K511" s="3">
        <v>1</v>
      </c>
      <c r="L511" s="3">
        <v>141</v>
      </c>
      <c r="M511" s="3">
        <v>15.1</v>
      </c>
      <c r="N511" s="3">
        <v>8.68</v>
      </c>
      <c r="O511" s="3">
        <v>0</v>
      </c>
      <c r="P511" s="3">
        <v>1</v>
      </c>
      <c r="Q511" s="3" t="s">
        <v>34</v>
      </c>
      <c r="R511" s="3" t="s">
        <v>34</v>
      </c>
      <c r="S511" s="3" t="s">
        <v>34</v>
      </c>
      <c r="T511" s="3" t="s">
        <v>34</v>
      </c>
      <c r="U511" s="3" t="s">
        <v>34</v>
      </c>
      <c r="V511" s="3" t="s">
        <v>216</v>
      </c>
      <c r="W511" s="3" t="s">
        <v>34</v>
      </c>
      <c r="X511" s="3" t="s">
        <v>34</v>
      </c>
      <c r="Y511" s="3" t="s">
        <v>34</v>
      </c>
      <c r="Z511" s="3" t="s">
        <v>34</v>
      </c>
      <c r="AA511" s="3">
        <v>0</v>
      </c>
      <c r="AB511" s="3" t="s">
        <v>30</v>
      </c>
      <c r="AC511" s="3">
        <v>1</v>
      </c>
      <c r="AD511" s="3" t="s">
        <v>34</v>
      </c>
    </row>
    <row r="512" spans="1:30" hidden="1" outlineLevel="1" collapsed="1" x14ac:dyDescent="0.2">
      <c r="A512" t="s">
        <v>34</v>
      </c>
      <c r="B512" s="2" t="s">
        <v>36</v>
      </c>
      <c r="C512" s="2" t="s">
        <v>37</v>
      </c>
      <c r="D512" s="2" t="s">
        <v>29</v>
      </c>
      <c r="E512" s="2" t="s">
        <v>38</v>
      </c>
      <c r="F512" s="2" t="s">
        <v>39</v>
      </c>
      <c r="G512" s="2" t="s">
        <v>28</v>
      </c>
      <c r="H512" s="2" t="s">
        <v>40</v>
      </c>
      <c r="I512" s="2" t="s">
        <v>8</v>
      </c>
      <c r="J512" s="2" t="s">
        <v>9</v>
      </c>
      <c r="K512" s="2" t="s">
        <v>41</v>
      </c>
      <c r="L512" s="2" t="s">
        <v>42</v>
      </c>
      <c r="M512" s="2" t="s">
        <v>43</v>
      </c>
      <c r="N512" s="2" t="s">
        <v>44</v>
      </c>
      <c r="O512" s="2" t="s">
        <v>45</v>
      </c>
      <c r="P512" s="2" t="s">
        <v>27</v>
      </c>
      <c r="Q512" s="2" t="s">
        <v>46</v>
      </c>
      <c r="R512" s="2" t="s">
        <v>47</v>
      </c>
      <c r="S512" s="2" t="s">
        <v>48</v>
      </c>
      <c r="T512" s="2" t="s">
        <v>49</v>
      </c>
    </row>
    <row r="513" spans="1:30" hidden="1" outlineLevel="1" collapsed="1" x14ac:dyDescent="0.2">
      <c r="A513" t="s">
        <v>34</v>
      </c>
      <c r="B513" s="4" t="s">
        <v>30</v>
      </c>
      <c r="C513" s="4" t="s">
        <v>984</v>
      </c>
      <c r="D513" s="4" t="s">
        <v>34</v>
      </c>
      <c r="E513" s="4">
        <v>0.17575499999999999</v>
      </c>
      <c r="F513" s="4">
        <v>9.5666499999999995E-3</v>
      </c>
      <c r="G513" s="4">
        <v>1</v>
      </c>
      <c r="H513" s="4">
        <v>1</v>
      </c>
      <c r="I513" s="4">
        <v>1</v>
      </c>
      <c r="J513" s="4">
        <v>1</v>
      </c>
      <c r="K513" s="4" t="s">
        <v>216</v>
      </c>
      <c r="L513" s="4" t="s">
        <v>985</v>
      </c>
      <c r="M513" s="4" t="s">
        <v>34</v>
      </c>
      <c r="N513" s="4">
        <v>1</v>
      </c>
      <c r="O513" s="4">
        <v>1171.6681100000001</v>
      </c>
      <c r="P513" s="4" t="s">
        <v>30</v>
      </c>
      <c r="Q513" s="4" t="s">
        <v>30</v>
      </c>
      <c r="R513" s="4">
        <v>4.1380000000000002E-3</v>
      </c>
      <c r="S513" s="4">
        <v>9.1399999999999995E-2</v>
      </c>
      <c r="T513" s="4">
        <v>1.1299999999999999</v>
      </c>
    </row>
    <row r="514" spans="1:30" x14ac:dyDescent="0.2">
      <c r="A514" s="3" t="s">
        <v>941</v>
      </c>
      <c r="B514" s="3" t="s">
        <v>31</v>
      </c>
      <c r="C514" s="3" t="s">
        <v>986</v>
      </c>
      <c r="D514" s="3" t="s">
        <v>987</v>
      </c>
      <c r="E514" s="3">
        <v>1.9E-2</v>
      </c>
      <c r="F514" s="3">
        <v>1.024</v>
      </c>
      <c r="G514" s="3">
        <v>3</v>
      </c>
      <c r="H514" s="3">
        <v>1</v>
      </c>
      <c r="I514" s="3">
        <v>1</v>
      </c>
      <c r="J514" s="3">
        <v>1</v>
      </c>
      <c r="K514" s="3">
        <v>1</v>
      </c>
      <c r="L514" s="3">
        <v>258</v>
      </c>
      <c r="M514" s="3">
        <v>28.7</v>
      </c>
      <c r="N514" s="3">
        <v>5.22</v>
      </c>
      <c r="O514" s="3">
        <v>0</v>
      </c>
      <c r="P514" s="3">
        <v>1</v>
      </c>
      <c r="Q514" s="3" t="s">
        <v>988</v>
      </c>
      <c r="R514" s="3" t="s">
        <v>989</v>
      </c>
      <c r="S514" s="3" t="s">
        <v>34</v>
      </c>
      <c r="T514" s="3" t="s">
        <v>990</v>
      </c>
      <c r="U514" s="3" t="s">
        <v>991</v>
      </c>
      <c r="V514" s="3" t="s">
        <v>992</v>
      </c>
      <c r="W514" s="3" t="s">
        <v>34</v>
      </c>
      <c r="X514" s="3" t="s">
        <v>993</v>
      </c>
      <c r="Y514" s="3" t="s">
        <v>994</v>
      </c>
      <c r="Z514" s="3" t="s">
        <v>995</v>
      </c>
      <c r="AA514" s="3">
        <v>4</v>
      </c>
      <c r="AB514" s="3" t="s">
        <v>30</v>
      </c>
      <c r="AC514" s="3">
        <v>1</v>
      </c>
      <c r="AD514" s="3" t="s">
        <v>34</v>
      </c>
    </row>
    <row r="515" spans="1:30" hidden="1" outlineLevel="1" collapsed="1" x14ac:dyDescent="0.2">
      <c r="A515" t="s">
        <v>34</v>
      </c>
      <c r="B515" s="2" t="s">
        <v>36</v>
      </c>
      <c r="C515" s="2" t="s">
        <v>37</v>
      </c>
      <c r="D515" s="2" t="s">
        <v>29</v>
      </c>
      <c r="E515" s="2" t="s">
        <v>38</v>
      </c>
      <c r="F515" s="2" t="s">
        <v>39</v>
      </c>
      <c r="G515" s="2" t="s">
        <v>28</v>
      </c>
      <c r="H515" s="2" t="s">
        <v>40</v>
      </c>
      <c r="I515" s="2" t="s">
        <v>8</v>
      </c>
      <c r="J515" s="2" t="s">
        <v>9</v>
      </c>
      <c r="K515" s="2" t="s">
        <v>41</v>
      </c>
      <c r="L515" s="2" t="s">
        <v>42</v>
      </c>
      <c r="M515" s="2" t="s">
        <v>43</v>
      </c>
      <c r="N515" s="2" t="s">
        <v>44</v>
      </c>
      <c r="O515" s="2" t="s">
        <v>45</v>
      </c>
      <c r="P515" s="2" t="s">
        <v>27</v>
      </c>
      <c r="Q515" s="2" t="s">
        <v>46</v>
      </c>
      <c r="R515" s="2" t="s">
        <v>47</v>
      </c>
      <c r="S515" s="2" t="s">
        <v>48</v>
      </c>
      <c r="T515" s="2" t="s">
        <v>49</v>
      </c>
    </row>
    <row r="516" spans="1:30" hidden="1" outlineLevel="1" collapsed="1" x14ac:dyDescent="0.2">
      <c r="A516" t="s">
        <v>34</v>
      </c>
      <c r="B516" s="4" t="s">
        <v>30</v>
      </c>
      <c r="C516" s="4" t="s">
        <v>996</v>
      </c>
      <c r="D516" s="4" t="s">
        <v>34</v>
      </c>
      <c r="E516" s="4">
        <v>0.181284</v>
      </c>
      <c r="F516" s="4">
        <v>9.5666499999999995E-3</v>
      </c>
      <c r="G516" s="4">
        <v>1</v>
      </c>
      <c r="H516" s="4">
        <v>1</v>
      </c>
      <c r="I516" s="4">
        <v>1</v>
      </c>
      <c r="J516" s="4">
        <v>1</v>
      </c>
      <c r="K516" s="4" t="s">
        <v>986</v>
      </c>
      <c r="L516" s="4" t="s">
        <v>997</v>
      </c>
      <c r="M516" s="4" t="s">
        <v>34</v>
      </c>
      <c r="N516" s="4">
        <v>0</v>
      </c>
      <c r="O516" s="4">
        <v>1007.51564</v>
      </c>
      <c r="P516" s="4" t="s">
        <v>30</v>
      </c>
      <c r="Q516" s="4" t="s">
        <v>30</v>
      </c>
      <c r="R516" s="4">
        <v>4.1380000000000002E-3</v>
      </c>
      <c r="S516" s="4">
        <v>9.4570000000000001E-2</v>
      </c>
      <c r="T516" s="4">
        <v>1.1599999999999999</v>
      </c>
    </row>
    <row r="517" spans="1:30" x14ac:dyDescent="0.2">
      <c r="A517" s="3" t="s">
        <v>941</v>
      </c>
      <c r="B517" s="3" t="s">
        <v>31</v>
      </c>
      <c r="C517" s="3" t="s">
        <v>998</v>
      </c>
      <c r="D517" s="3" t="s">
        <v>999</v>
      </c>
      <c r="E517" s="3">
        <v>1.9E-2</v>
      </c>
      <c r="F517" s="3">
        <v>0.995</v>
      </c>
      <c r="G517" s="3">
        <v>2</v>
      </c>
      <c r="H517" s="3">
        <v>1</v>
      </c>
      <c r="I517" s="3">
        <v>1</v>
      </c>
      <c r="J517" s="3">
        <v>1</v>
      </c>
      <c r="K517" s="3">
        <v>1</v>
      </c>
      <c r="L517" s="3">
        <v>546</v>
      </c>
      <c r="M517" s="3">
        <v>59.9</v>
      </c>
      <c r="N517" s="3">
        <v>7.71</v>
      </c>
      <c r="O517" s="3">
        <v>0</v>
      </c>
      <c r="P517" s="3">
        <v>1</v>
      </c>
      <c r="Q517" s="3" t="s">
        <v>1000</v>
      </c>
      <c r="R517" s="3" t="s">
        <v>1001</v>
      </c>
      <c r="S517" s="3" t="s">
        <v>561</v>
      </c>
      <c r="T517" s="3" t="s">
        <v>1002</v>
      </c>
      <c r="U517" s="3" t="s">
        <v>1003</v>
      </c>
      <c r="V517" s="3" t="s">
        <v>1004</v>
      </c>
      <c r="W517" s="3" t="s">
        <v>34</v>
      </c>
      <c r="X517" s="3" t="s">
        <v>1005</v>
      </c>
      <c r="Y517" s="3" t="s">
        <v>34</v>
      </c>
      <c r="Z517" s="3" t="s">
        <v>34</v>
      </c>
      <c r="AA517" s="3">
        <v>0</v>
      </c>
      <c r="AB517" s="3" t="s">
        <v>30</v>
      </c>
      <c r="AC517" s="3">
        <v>1</v>
      </c>
      <c r="AD517" s="3" t="s">
        <v>34</v>
      </c>
    </row>
    <row r="518" spans="1:30" hidden="1" outlineLevel="1" collapsed="1" x14ac:dyDescent="0.2">
      <c r="A518" t="s">
        <v>34</v>
      </c>
      <c r="B518" s="2" t="s">
        <v>36</v>
      </c>
      <c r="C518" s="2" t="s">
        <v>37</v>
      </c>
      <c r="D518" s="2" t="s">
        <v>29</v>
      </c>
      <c r="E518" s="2" t="s">
        <v>38</v>
      </c>
      <c r="F518" s="2" t="s">
        <v>39</v>
      </c>
      <c r="G518" s="2" t="s">
        <v>28</v>
      </c>
      <c r="H518" s="2" t="s">
        <v>40</v>
      </c>
      <c r="I518" s="2" t="s">
        <v>8</v>
      </c>
      <c r="J518" s="2" t="s">
        <v>9</v>
      </c>
      <c r="K518" s="2" t="s">
        <v>41</v>
      </c>
      <c r="L518" s="2" t="s">
        <v>42</v>
      </c>
      <c r="M518" s="2" t="s">
        <v>43</v>
      </c>
      <c r="N518" s="2" t="s">
        <v>44</v>
      </c>
      <c r="O518" s="2" t="s">
        <v>45</v>
      </c>
      <c r="P518" s="2" t="s">
        <v>27</v>
      </c>
      <c r="Q518" s="2" t="s">
        <v>46</v>
      </c>
      <c r="R518" s="2" t="s">
        <v>47</v>
      </c>
      <c r="S518" s="2" t="s">
        <v>48</v>
      </c>
      <c r="T518" s="2" t="s">
        <v>49</v>
      </c>
    </row>
    <row r="519" spans="1:30" hidden="1" outlineLevel="1" collapsed="1" x14ac:dyDescent="0.2">
      <c r="A519" t="s">
        <v>34</v>
      </c>
      <c r="B519" s="4" t="s">
        <v>30</v>
      </c>
      <c r="C519" s="4" t="s">
        <v>1006</v>
      </c>
      <c r="D519" s="4" t="s">
        <v>1007</v>
      </c>
      <c r="E519" s="4">
        <v>0.19194800000000001</v>
      </c>
      <c r="F519" s="4">
        <v>9.5666499999999995E-3</v>
      </c>
      <c r="G519" s="4">
        <v>1</v>
      </c>
      <c r="H519" s="4">
        <v>1</v>
      </c>
      <c r="I519" s="4">
        <v>1</v>
      </c>
      <c r="J519" s="4">
        <v>1</v>
      </c>
      <c r="K519" s="4" t="s">
        <v>998</v>
      </c>
      <c r="L519" s="4" t="s">
        <v>1008</v>
      </c>
      <c r="M519" s="4" t="s">
        <v>34</v>
      </c>
      <c r="N519" s="4">
        <v>0</v>
      </c>
      <c r="O519" s="4">
        <v>1392.6810599999999</v>
      </c>
      <c r="P519" s="4" t="s">
        <v>30</v>
      </c>
      <c r="Q519" s="4" t="s">
        <v>30</v>
      </c>
      <c r="R519" s="4">
        <v>4.1380000000000002E-3</v>
      </c>
      <c r="S519" s="4">
        <v>0.1011</v>
      </c>
      <c r="T519" s="4">
        <v>1.19</v>
      </c>
    </row>
    <row r="520" spans="1:30" x14ac:dyDescent="0.2">
      <c r="A520" s="3" t="s">
        <v>941</v>
      </c>
      <c r="B520" s="3" t="s">
        <v>31</v>
      </c>
      <c r="C520" s="3" t="s">
        <v>1009</v>
      </c>
      <c r="D520" s="3" t="s">
        <v>1010</v>
      </c>
      <c r="E520" s="3">
        <v>1.9E-2</v>
      </c>
      <c r="F520" s="3">
        <v>0.99099999999999999</v>
      </c>
      <c r="G520" s="3">
        <v>1</v>
      </c>
      <c r="H520" s="3">
        <v>1</v>
      </c>
      <c r="I520" s="3">
        <v>1</v>
      </c>
      <c r="J520" s="3">
        <v>1</v>
      </c>
      <c r="K520" s="3">
        <v>1</v>
      </c>
      <c r="L520" s="3">
        <v>542</v>
      </c>
      <c r="M520" s="3">
        <v>59.6</v>
      </c>
      <c r="N520" s="3">
        <v>9.09</v>
      </c>
      <c r="O520" s="3">
        <v>0</v>
      </c>
      <c r="P520" s="3">
        <v>1</v>
      </c>
      <c r="Q520" s="3" t="s">
        <v>1011</v>
      </c>
      <c r="R520" s="3" t="s">
        <v>1012</v>
      </c>
      <c r="S520" s="3" t="s">
        <v>1013</v>
      </c>
      <c r="T520" s="3" t="s">
        <v>1014</v>
      </c>
      <c r="U520" s="3" t="s">
        <v>1015</v>
      </c>
      <c r="V520" s="3" t="s">
        <v>1016</v>
      </c>
      <c r="W520" s="3" t="s">
        <v>34</v>
      </c>
      <c r="X520" s="3" t="s">
        <v>1017</v>
      </c>
      <c r="Y520" s="3" t="s">
        <v>34</v>
      </c>
      <c r="Z520" s="3" t="s">
        <v>34</v>
      </c>
      <c r="AA520" s="3">
        <v>0</v>
      </c>
      <c r="AB520" s="3" t="s">
        <v>30</v>
      </c>
      <c r="AC520" s="3">
        <v>1</v>
      </c>
      <c r="AD520" s="3" t="s">
        <v>34</v>
      </c>
    </row>
    <row r="521" spans="1:30" hidden="1" outlineLevel="1" collapsed="1" x14ac:dyDescent="0.2">
      <c r="A521" t="s">
        <v>34</v>
      </c>
      <c r="B521" s="2" t="s">
        <v>36</v>
      </c>
      <c r="C521" s="2" t="s">
        <v>37</v>
      </c>
      <c r="D521" s="2" t="s">
        <v>29</v>
      </c>
      <c r="E521" s="2" t="s">
        <v>38</v>
      </c>
      <c r="F521" s="2" t="s">
        <v>39</v>
      </c>
      <c r="G521" s="2" t="s">
        <v>28</v>
      </c>
      <c r="H521" s="2" t="s">
        <v>40</v>
      </c>
      <c r="I521" s="2" t="s">
        <v>8</v>
      </c>
      <c r="J521" s="2" t="s">
        <v>9</v>
      </c>
      <c r="K521" s="2" t="s">
        <v>41</v>
      </c>
      <c r="L521" s="2" t="s">
        <v>42</v>
      </c>
      <c r="M521" s="2" t="s">
        <v>43</v>
      </c>
      <c r="N521" s="2" t="s">
        <v>44</v>
      </c>
      <c r="O521" s="2" t="s">
        <v>45</v>
      </c>
      <c r="P521" s="2" t="s">
        <v>27</v>
      </c>
      <c r="Q521" s="2" t="s">
        <v>46</v>
      </c>
      <c r="R521" s="2" t="s">
        <v>47</v>
      </c>
      <c r="S521" s="2" t="s">
        <v>48</v>
      </c>
      <c r="T521" s="2" t="s">
        <v>49</v>
      </c>
    </row>
    <row r="522" spans="1:30" hidden="1" outlineLevel="1" collapsed="1" x14ac:dyDescent="0.2">
      <c r="A522" t="s">
        <v>34</v>
      </c>
      <c r="B522" s="4" t="s">
        <v>30</v>
      </c>
      <c r="C522" s="4" t="s">
        <v>1018</v>
      </c>
      <c r="D522" s="4" t="s">
        <v>34</v>
      </c>
      <c r="E522" s="4">
        <v>0.19278999999999999</v>
      </c>
      <c r="F522" s="4">
        <v>9.5666499999999995E-3</v>
      </c>
      <c r="G522" s="4">
        <v>1</v>
      </c>
      <c r="H522" s="4">
        <v>1</v>
      </c>
      <c r="I522" s="4">
        <v>1</v>
      </c>
      <c r="J522" s="4">
        <v>1</v>
      </c>
      <c r="K522" s="4" t="s">
        <v>1009</v>
      </c>
      <c r="L522" s="4" t="s">
        <v>1019</v>
      </c>
      <c r="M522" s="4" t="s">
        <v>34</v>
      </c>
      <c r="N522" s="4">
        <v>0</v>
      </c>
      <c r="O522" s="4">
        <v>828.44615999999996</v>
      </c>
      <c r="P522" s="4" t="s">
        <v>30</v>
      </c>
      <c r="Q522" s="4" t="s">
        <v>30</v>
      </c>
      <c r="R522" s="4">
        <v>4.1380000000000002E-3</v>
      </c>
      <c r="S522" s="4">
        <v>0.10199999999999999</v>
      </c>
      <c r="T522" s="4">
        <v>1.25</v>
      </c>
    </row>
    <row r="523" spans="1:30" x14ac:dyDescent="0.2">
      <c r="A523" s="3" t="s">
        <v>941</v>
      </c>
      <c r="B523" s="3" t="s">
        <v>31</v>
      </c>
      <c r="C523" s="3" t="s">
        <v>1020</v>
      </c>
      <c r="D523" s="3" t="s">
        <v>1021</v>
      </c>
      <c r="E523" s="3">
        <v>1.7999999999999999E-2</v>
      </c>
      <c r="F523" s="3">
        <v>0.94899999999999995</v>
      </c>
      <c r="G523" s="3">
        <v>1</v>
      </c>
      <c r="H523" s="3">
        <v>1</v>
      </c>
      <c r="I523" s="3">
        <v>1</v>
      </c>
      <c r="J523" s="3">
        <v>1</v>
      </c>
      <c r="K523" s="3">
        <v>1</v>
      </c>
      <c r="L523" s="3">
        <v>759</v>
      </c>
      <c r="M523" s="3">
        <v>87.3</v>
      </c>
      <c r="N523" s="3">
        <v>7.24</v>
      </c>
      <c r="O523" s="3">
        <v>0</v>
      </c>
      <c r="P523" s="3">
        <v>1</v>
      </c>
      <c r="Q523" s="3" t="s">
        <v>34</v>
      </c>
      <c r="R523" s="3" t="s">
        <v>34</v>
      </c>
      <c r="S523" s="3" t="s">
        <v>34</v>
      </c>
      <c r="T523" s="3" t="s">
        <v>34</v>
      </c>
      <c r="U523" s="3" t="s">
        <v>34</v>
      </c>
      <c r="V523" s="3" t="s">
        <v>1020</v>
      </c>
      <c r="W523" s="3" t="s">
        <v>34</v>
      </c>
      <c r="X523" s="3" t="s">
        <v>34</v>
      </c>
      <c r="Y523" s="3" t="s">
        <v>34</v>
      </c>
      <c r="Z523" s="3" t="s">
        <v>34</v>
      </c>
      <c r="AA523" s="3">
        <v>0</v>
      </c>
      <c r="AB523" s="3" t="s">
        <v>30</v>
      </c>
      <c r="AC523" s="3">
        <v>1</v>
      </c>
      <c r="AD523" s="3" t="s">
        <v>1022</v>
      </c>
    </row>
    <row r="524" spans="1:30" hidden="1" outlineLevel="1" collapsed="1" x14ac:dyDescent="0.2">
      <c r="A524" t="s">
        <v>34</v>
      </c>
      <c r="B524" s="2" t="s">
        <v>36</v>
      </c>
      <c r="C524" s="2" t="s">
        <v>37</v>
      </c>
      <c r="D524" s="2" t="s">
        <v>29</v>
      </c>
      <c r="E524" s="2" t="s">
        <v>38</v>
      </c>
      <c r="F524" s="2" t="s">
        <v>39</v>
      </c>
      <c r="G524" s="2" t="s">
        <v>28</v>
      </c>
      <c r="H524" s="2" t="s">
        <v>40</v>
      </c>
      <c r="I524" s="2" t="s">
        <v>8</v>
      </c>
      <c r="J524" s="2" t="s">
        <v>9</v>
      </c>
      <c r="K524" s="2" t="s">
        <v>41</v>
      </c>
      <c r="L524" s="2" t="s">
        <v>42</v>
      </c>
      <c r="M524" s="2" t="s">
        <v>43</v>
      </c>
      <c r="N524" s="2" t="s">
        <v>44</v>
      </c>
      <c r="O524" s="2" t="s">
        <v>45</v>
      </c>
      <c r="P524" s="2" t="s">
        <v>27</v>
      </c>
      <c r="Q524" s="2" t="s">
        <v>46</v>
      </c>
      <c r="R524" s="2" t="s">
        <v>47</v>
      </c>
      <c r="S524" s="2" t="s">
        <v>48</v>
      </c>
      <c r="T524" s="2" t="s">
        <v>49</v>
      </c>
    </row>
    <row r="525" spans="1:30" hidden="1" outlineLevel="1" collapsed="1" x14ac:dyDescent="0.2">
      <c r="A525" t="s">
        <v>34</v>
      </c>
      <c r="B525" s="4" t="s">
        <v>30</v>
      </c>
      <c r="C525" s="4" t="s">
        <v>1023</v>
      </c>
      <c r="D525" s="4" t="s">
        <v>902</v>
      </c>
      <c r="E525" s="4">
        <v>0.20938699999999999</v>
      </c>
      <c r="F525" s="4">
        <v>9.5666499999999995E-3</v>
      </c>
      <c r="G525" s="4">
        <v>1</v>
      </c>
      <c r="H525" s="4">
        <v>1</v>
      </c>
      <c r="I525" s="4">
        <v>1</v>
      </c>
      <c r="J525" s="4">
        <v>1</v>
      </c>
      <c r="K525" s="4" t="s">
        <v>1020</v>
      </c>
      <c r="L525" s="4" t="s">
        <v>1024</v>
      </c>
      <c r="M525" s="4" t="s">
        <v>1025</v>
      </c>
      <c r="N525" s="4">
        <v>0</v>
      </c>
      <c r="O525" s="4">
        <v>1189.5799099999999</v>
      </c>
      <c r="P525" s="4" t="s">
        <v>30</v>
      </c>
      <c r="Q525" s="4" t="s">
        <v>30</v>
      </c>
      <c r="R525" s="4">
        <v>4.1380000000000002E-3</v>
      </c>
      <c r="S525" s="4">
        <v>0.1124</v>
      </c>
      <c r="T525" s="4">
        <v>0.97</v>
      </c>
    </row>
    <row r="526" spans="1:30" x14ac:dyDescent="0.2">
      <c r="A526" s="3" t="s">
        <v>941</v>
      </c>
      <c r="B526" s="3" t="s">
        <v>31</v>
      </c>
      <c r="C526" s="3" t="s">
        <v>1026</v>
      </c>
      <c r="D526" s="3" t="s">
        <v>1027</v>
      </c>
      <c r="E526" s="3">
        <v>1.7999999999999999E-2</v>
      </c>
      <c r="F526" s="3">
        <v>0.94499999999999995</v>
      </c>
      <c r="G526" s="3">
        <v>1</v>
      </c>
      <c r="H526" s="3">
        <v>1</v>
      </c>
      <c r="I526" s="3">
        <v>1</v>
      </c>
      <c r="J526" s="3">
        <v>1</v>
      </c>
      <c r="K526" s="3">
        <v>1</v>
      </c>
      <c r="L526" s="3">
        <v>899</v>
      </c>
      <c r="M526" s="3">
        <v>102.8</v>
      </c>
      <c r="N526" s="3">
        <v>5.99</v>
      </c>
      <c r="O526" s="3">
        <v>0</v>
      </c>
      <c r="P526" s="3">
        <v>1</v>
      </c>
      <c r="Q526" s="3" t="s">
        <v>1028</v>
      </c>
      <c r="R526" s="3" t="s">
        <v>910</v>
      </c>
      <c r="S526" s="3" t="s">
        <v>1029</v>
      </c>
      <c r="T526" s="3" t="s">
        <v>1030</v>
      </c>
      <c r="U526" s="3" t="s">
        <v>1031</v>
      </c>
      <c r="V526" s="3" t="s">
        <v>1032</v>
      </c>
      <c r="W526" s="3" t="s">
        <v>34</v>
      </c>
      <c r="X526" s="3" t="s">
        <v>1033</v>
      </c>
      <c r="Y526" s="3" t="s">
        <v>34</v>
      </c>
      <c r="Z526" s="3" t="s">
        <v>34</v>
      </c>
      <c r="AA526" s="3">
        <v>0</v>
      </c>
      <c r="AB526" s="3" t="s">
        <v>30</v>
      </c>
      <c r="AC526" s="3">
        <v>1</v>
      </c>
      <c r="AD526" s="3" t="s">
        <v>34</v>
      </c>
    </row>
    <row r="527" spans="1:30" hidden="1" outlineLevel="1" collapsed="1" x14ac:dyDescent="0.2">
      <c r="A527" t="s">
        <v>34</v>
      </c>
      <c r="B527" s="2" t="s">
        <v>36</v>
      </c>
      <c r="C527" s="2" t="s">
        <v>37</v>
      </c>
      <c r="D527" s="2" t="s">
        <v>29</v>
      </c>
      <c r="E527" s="2" t="s">
        <v>38</v>
      </c>
      <c r="F527" s="2" t="s">
        <v>39</v>
      </c>
      <c r="G527" s="2" t="s">
        <v>28</v>
      </c>
      <c r="H527" s="2" t="s">
        <v>40</v>
      </c>
      <c r="I527" s="2" t="s">
        <v>8</v>
      </c>
      <c r="J527" s="2" t="s">
        <v>9</v>
      </c>
      <c r="K527" s="2" t="s">
        <v>41</v>
      </c>
      <c r="L527" s="2" t="s">
        <v>42</v>
      </c>
      <c r="M527" s="2" t="s">
        <v>43</v>
      </c>
      <c r="N527" s="2" t="s">
        <v>44</v>
      </c>
      <c r="O527" s="2" t="s">
        <v>45</v>
      </c>
      <c r="P527" s="2" t="s">
        <v>27</v>
      </c>
      <c r="Q527" s="2" t="s">
        <v>46</v>
      </c>
      <c r="R527" s="2" t="s">
        <v>47</v>
      </c>
      <c r="S527" s="2" t="s">
        <v>48</v>
      </c>
      <c r="T527" s="2" t="s">
        <v>49</v>
      </c>
    </row>
    <row r="528" spans="1:30" hidden="1" outlineLevel="1" collapsed="1" x14ac:dyDescent="0.2">
      <c r="A528" t="s">
        <v>34</v>
      </c>
      <c r="B528" s="4" t="s">
        <v>30</v>
      </c>
      <c r="C528" s="4" t="s">
        <v>1034</v>
      </c>
      <c r="D528" s="4" t="s">
        <v>34</v>
      </c>
      <c r="E528" s="4">
        <v>0.212113</v>
      </c>
      <c r="F528" s="4">
        <v>9.5666499999999995E-3</v>
      </c>
      <c r="G528" s="4">
        <v>1</v>
      </c>
      <c r="H528" s="4">
        <v>1</v>
      </c>
      <c r="I528" s="4">
        <v>1</v>
      </c>
      <c r="J528" s="4">
        <v>1</v>
      </c>
      <c r="K528" s="4" t="s">
        <v>1026</v>
      </c>
      <c r="L528" s="4" t="s">
        <v>1035</v>
      </c>
      <c r="M528" s="4" t="s">
        <v>34</v>
      </c>
      <c r="N528" s="4">
        <v>0</v>
      </c>
      <c r="O528" s="4">
        <v>767.39340000000004</v>
      </c>
      <c r="P528" s="4" t="s">
        <v>30</v>
      </c>
      <c r="Q528" s="4" t="s">
        <v>30</v>
      </c>
      <c r="R528" s="4">
        <v>4.1380000000000002E-3</v>
      </c>
      <c r="S528" s="4">
        <v>0.11360000000000001</v>
      </c>
      <c r="T528" s="4">
        <v>1.1000000000000001</v>
      </c>
    </row>
    <row r="529" spans="1:30" x14ac:dyDescent="0.2">
      <c r="A529" s="3" t="s">
        <v>941</v>
      </c>
      <c r="B529" s="3" t="s">
        <v>31</v>
      </c>
      <c r="C529" s="3" t="s">
        <v>1036</v>
      </c>
      <c r="D529" s="3" t="s">
        <v>1037</v>
      </c>
      <c r="E529" s="3">
        <v>1.7999999999999999E-2</v>
      </c>
      <c r="F529" s="3">
        <v>0.91400000000000003</v>
      </c>
      <c r="G529" s="3">
        <v>2</v>
      </c>
      <c r="H529" s="3">
        <v>1</v>
      </c>
      <c r="I529" s="3">
        <v>1</v>
      </c>
      <c r="J529" s="3">
        <v>1</v>
      </c>
      <c r="K529" s="3">
        <v>1</v>
      </c>
      <c r="L529" s="3">
        <v>722</v>
      </c>
      <c r="M529" s="3">
        <v>78.7</v>
      </c>
      <c r="N529" s="3">
        <v>6.92</v>
      </c>
      <c r="O529" s="3">
        <v>0</v>
      </c>
      <c r="P529" s="3">
        <v>1</v>
      </c>
      <c r="Q529" s="3" t="s">
        <v>1038</v>
      </c>
      <c r="R529" s="3" t="s">
        <v>1039</v>
      </c>
      <c r="S529" s="3" t="s">
        <v>883</v>
      </c>
      <c r="T529" s="3" t="s">
        <v>1040</v>
      </c>
      <c r="U529" s="3" t="s">
        <v>1041</v>
      </c>
      <c r="V529" s="3" t="s">
        <v>1042</v>
      </c>
      <c r="W529" s="3" t="s">
        <v>34</v>
      </c>
      <c r="X529" s="3" t="s">
        <v>1043</v>
      </c>
      <c r="Y529" s="3" t="s">
        <v>34</v>
      </c>
      <c r="Z529" s="3" t="s">
        <v>34</v>
      </c>
      <c r="AA529" s="3">
        <v>0</v>
      </c>
      <c r="AB529" s="3" t="s">
        <v>30</v>
      </c>
      <c r="AC529" s="3">
        <v>1</v>
      </c>
      <c r="AD529" s="3" t="s">
        <v>34</v>
      </c>
    </row>
    <row r="530" spans="1:30" hidden="1" outlineLevel="1" collapsed="1" x14ac:dyDescent="0.2">
      <c r="A530" t="s">
        <v>34</v>
      </c>
      <c r="B530" s="2" t="s">
        <v>36</v>
      </c>
      <c r="C530" s="2" t="s">
        <v>37</v>
      </c>
      <c r="D530" s="2" t="s">
        <v>29</v>
      </c>
      <c r="E530" s="2" t="s">
        <v>38</v>
      </c>
      <c r="F530" s="2" t="s">
        <v>39</v>
      </c>
      <c r="G530" s="2" t="s">
        <v>28</v>
      </c>
      <c r="H530" s="2" t="s">
        <v>40</v>
      </c>
      <c r="I530" s="2" t="s">
        <v>8</v>
      </c>
      <c r="J530" s="2" t="s">
        <v>9</v>
      </c>
      <c r="K530" s="2" t="s">
        <v>41</v>
      </c>
      <c r="L530" s="2" t="s">
        <v>42</v>
      </c>
      <c r="M530" s="2" t="s">
        <v>43</v>
      </c>
      <c r="N530" s="2" t="s">
        <v>44</v>
      </c>
      <c r="O530" s="2" t="s">
        <v>45</v>
      </c>
      <c r="P530" s="2" t="s">
        <v>27</v>
      </c>
      <c r="Q530" s="2" t="s">
        <v>46</v>
      </c>
      <c r="R530" s="2" t="s">
        <v>47</v>
      </c>
      <c r="S530" s="2" t="s">
        <v>48</v>
      </c>
      <c r="T530" s="2" t="s">
        <v>49</v>
      </c>
    </row>
    <row r="531" spans="1:30" hidden="1" outlineLevel="1" collapsed="1" x14ac:dyDescent="0.2">
      <c r="A531" t="s">
        <v>34</v>
      </c>
      <c r="B531" s="4" t="s">
        <v>30</v>
      </c>
      <c r="C531" s="4" t="s">
        <v>1044</v>
      </c>
      <c r="D531" s="4" t="s">
        <v>1045</v>
      </c>
      <c r="E531" s="4">
        <v>0.22426599999999999</v>
      </c>
      <c r="F531" s="4">
        <v>9.5666499999999995E-3</v>
      </c>
      <c r="G531" s="4">
        <v>1</v>
      </c>
      <c r="H531" s="4">
        <v>1</v>
      </c>
      <c r="I531" s="4">
        <v>1</v>
      </c>
      <c r="J531" s="4">
        <v>1</v>
      </c>
      <c r="K531" s="4" t="s">
        <v>1036</v>
      </c>
      <c r="L531" s="4" t="s">
        <v>1046</v>
      </c>
      <c r="M531" s="4" t="s">
        <v>34</v>
      </c>
      <c r="N531" s="4">
        <v>0</v>
      </c>
      <c r="O531" s="4">
        <v>2070.9062800000002</v>
      </c>
      <c r="P531" s="4" t="s">
        <v>30</v>
      </c>
      <c r="Q531" s="4" t="s">
        <v>30</v>
      </c>
      <c r="R531" s="4">
        <v>4.1380000000000002E-3</v>
      </c>
      <c r="S531" s="4">
        <v>0.12180000000000001</v>
      </c>
      <c r="T531" s="4">
        <v>1.45</v>
      </c>
    </row>
    <row r="532" spans="1:30" x14ac:dyDescent="0.2">
      <c r="A532" s="3" t="s">
        <v>941</v>
      </c>
      <c r="B532" s="3" t="s">
        <v>31</v>
      </c>
      <c r="C532" s="3" t="s">
        <v>1047</v>
      </c>
      <c r="D532" s="3" t="s">
        <v>1048</v>
      </c>
      <c r="E532" s="3">
        <v>1.7999999999999999E-2</v>
      </c>
      <c r="F532" s="3">
        <v>0.877</v>
      </c>
      <c r="G532" s="3">
        <v>1</v>
      </c>
      <c r="H532" s="3">
        <v>1</v>
      </c>
      <c r="I532" s="3">
        <v>1</v>
      </c>
      <c r="J532" s="3">
        <v>1</v>
      </c>
      <c r="K532" s="3">
        <v>1</v>
      </c>
      <c r="L532" s="3">
        <v>600</v>
      </c>
      <c r="M532" s="3">
        <v>69.400000000000006</v>
      </c>
      <c r="N532" s="3">
        <v>8.0299999999999994</v>
      </c>
      <c r="O532" s="3">
        <v>0</v>
      </c>
      <c r="P532" s="3">
        <v>1</v>
      </c>
      <c r="Q532" s="3" t="s">
        <v>1049</v>
      </c>
      <c r="R532" s="3" t="s">
        <v>910</v>
      </c>
      <c r="S532" s="3" t="s">
        <v>883</v>
      </c>
      <c r="T532" s="3" t="s">
        <v>1050</v>
      </c>
      <c r="U532" s="3" t="s">
        <v>1051</v>
      </c>
      <c r="V532" s="3" t="s">
        <v>1052</v>
      </c>
      <c r="W532" s="3" t="s">
        <v>34</v>
      </c>
      <c r="X532" s="3" t="s">
        <v>1053</v>
      </c>
      <c r="Y532" s="3" t="s">
        <v>34</v>
      </c>
      <c r="Z532" s="3" t="s">
        <v>34</v>
      </c>
      <c r="AA532" s="3">
        <v>0</v>
      </c>
      <c r="AB532" s="3" t="s">
        <v>30</v>
      </c>
      <c r="AC532" s="3">
        <v>1</v>
      </c>
      <c r="AD532" s="3" t="s">
        <v>34</v>
      </c>
    </row>
    <row r="533" spans="1:30" hidden="1" outlineLevel="1" collapsed="1" x14ac:dyDescent="0.2">
      <c r="A533" t="s">
        <v>34</v>
      </c>
      <c r="B533" s="2" t="s">
        <v>36</v>
      </c>
      <c r="C533" s="2" t="s">
        <v>37</v>
      </c>
      <c r="D533" s="2" t="s">
        <v>29</v>
      </c>
      <c r="E533" s="2" t="s">
        <v>38</v>
      </c>
      <c r="F533" s="2" t="s">
        <v>39</v>
      </c>
      <c r="G533" s="2" t="s">
        <v>28</v>
      </c>
      <c r="H533" s="2" t="s">
        <v>40</v>
      </c>
      <c r="I533" s="2" t="s">
        <v>8</v>
      </c>
      <c r="J533" s="2" t="s">
        <v>9</v>
      </c>
      <c r="K533" s="2" t="s">
        <v>41</v>
      </c>
      <c r="L533" s="2" t="s">
        <v>42</v>
      </c>
      <c r="M533" s="2" t="s">
        <v>43</v>
      </c>
      <c r="N533" s="2" t="s">
        <v>44</v>
      </c>
      <c r="O533" s="2" t="s">
        <v>45</v>
      </c>
      <c r="P533" s="2" t="s">
        <v>27</v>
      </c>
      <c r="Q533" s="2" t="s">
        <v>46</v>
      </c>
      <c r="R533" s="2" t="s">
        <v>47</v>
      </c>
      <c r="S533" s="2" t="s">
        <v>48</v>
      </c>
      <c r="T533" s="2" t="s">
        <v>49</v>
      </c>
    </row>
    <row r="534" spans="1:30" hidden="1" outlineLevel="1" collapsed="1" x14ac:dyDescent="0.2">
      <c r="A534" t="s">
        <v>34</v>
      </c>
      <c r="B534" s="4" t="s">
        <v>30</v>
      </c>
      <c r="C534" s="4" t="s">
        <v>1054</v>
      </c>
      <c r="D534" s="4" t="s">
        <v>34</v>
      </c>
      <c r="E534" s="4">
        <v>0.241005</v>
      </c>
      <c r="F534" s="4">
        <v>9.5666499999999995E-3</v>
      </c>
      <c r="G534" s="4">
        <v>1</v>
      </c>
      <c r="H534" s="4">
        <v>1</v>
      </c>
      <c r="I534" s="4">
        <v>1</v>
      </c>
      <c r="J534" s="4">
        <v>1</v>
      </c>
      <c r="K534" s="4" t="s">
        <v>1047</v>
      </c>
      <c r="L534" s="4" t="s">
        <v>1055</v>
      </c>
      <c r="M534" s="4" t="s">
        <v>34</v>
      </c>
      <c r="N534" s="4">
        <v>0</v>
      </c>
      <c r="O534" s="4">
        <v>756.47265000000004</v>
      </c>
      <c r="P534" s="4" t="s">
        <v>30</v>
      </c>
      <c r="Q534" s="4" t="s">
        <v>30</v>
      </c>
      <c r="R534" s="4">
        <v>4.1380000000000002E-3</v>
      </c>
      <c r="S534" s="4">
        <v>0.1328</v>
      </c>
      <c r="T534" s="4">
        <v>0.72</v>
      </c>
    </row>
    <row r="535" spans="1:30" x14ac:dyDescent="0.2">
      <c r="A535" s="3" t="s">
        <v>941</v>
      </c>
      <c r="B535" s="3" t="s">
        <v>31</v>
      </c>
      <c r="C535" s="3" t="s">
        <v>1056</v>
      </c>
      <c r="D535" s="3" t="s">
        <v>1057</v>
      </c>
      <c r="E535" s="3">
        <v>1.7999999999999999E-2</v>
      </c>
      <c r="F535" s="3">
        <v>0.87</v>
      </c>
      <c r="G535" s="3">
        <v>1</v>
      </c>
      <c r="H535" s="3">
        <v>1</v>
      </c>
      <c r="I535" s="3">
        <v>1</v>
      </c>
      <c r="J535" s="3">
        <v>1</v>
      </c>
      <c r="K535" s="3">
        <v>1</v>
      </c>
      <c r="L535" s="3">
        <v>923</v>
      </c>
      <c r="M535" s="3">
        <v>103.9</v>
      </c>
      <c r="N535" s="3">
        <v>5.0999999999999996</v>
      </c>
      <c r="O535" s="3">
        <v>0</v>
      </c>
      <c r="P535" s="3">
        <v>1</v>
      </c>
      <c r="Q535" s="3" t="s">
        <v>1058</v>
      </c>
      <c r="R535" s="3" t="s">
        <v>910</v>
      </c>
      <c r="S535" s="3" t="s">
        <v>34</v>
      </c>
      <c r="T535" s="3" t="s">
        <v>1059</v>
      </c>
      <c r="U535" s="3" t="s">
        <v>1060</v>
      </c>
      <c r="V535" s="3" t="s">
        <v>1061</v>
      </c>
      <c r="W535" s="3" t="s">
        <v>34</v>
      </c>
      <c r="X535" s="3" t="s">
        <v>1062</v>
      </c>
      <c r="Y535" s="3" t="s">
        <v>1063</v>
      </c>
      <c r="Z535" s="3" t="s">
        <v>34</v>
      </c>
      <c r="AA535" s="3">
        <v>1</v>
      </c>
      <c r="AB535" s="3" t="s">
        <v>30</v>
      </c>
      <c r="AC535" s="3">
        <v>1</v>
      </c>
      <c r="AD535" s="3" t="s">
        <v>34</v>
      </c>
    </row>
    <row r="536" spans="1:30" hidden="1" outlineLevel="1" collapsed="1" x14ac:dyDescent="0.2">
      <c r="A536" t="s">
        <v>34</v>
      </c>
      <c r="B536" s="2" t="s">
        <v>36</v>
      </c>
      <c r="C536" s="2" t="s">
        <v>37</v>
      </c>
      <c r="D536" s="2" t="s">
        <v>29</v>
      </c>
      <c r="E536" s="2" t="s">
        <v>38</v>
      </c>
      <c r="F536" s="2" t="s">
        <v>39</v>
      </c>
      <c r="G536" s="2" t="s">
        <v>28</v>
      </c>
      <c r="H536" s="2" t="s">
        <v>40</v>
      </c>
      <c r="I536" s="2" t="s">
        <v>8</v>
      </c>
      <c r="J536" s="2" t="s">
        <v>9</v>
      </c>
      <c r="K536" s="2" t="s">
        <v>41</v>
      </c>
      <c r="L536" s="2" t="s">
        <v>42</v>
      </c>
      <c r="M536" s="2" t="s">
        <v>43</v>
      </c>
      <c r="N536" s="2" t="s">
        <v>44</v>
      </c>
      <c r="O536" s="2" t="s">
        <v>45</v>
      </c>
      <c r="P536" s="2" t="s">
        <v>27</v>
      </c>
      <c r="Q536" s="2" t="s">
        <v>46</v>
      </c>
      <c r="R536" s="2" t="s">
        <v>47</v>
      </c>
      <c r="S536" s="2" t="s">
        <v>48</v>
      </c>
      <c r="T536" s="2" t="s">
        <v>49</v>
      </c>
    </row>
    <row r="537" spans="1:30" hidden="1" outlineLevel="1" collapsed="1" x14ac:dyDescent="0.2">
      <c r="A537" t="s">
        <v>34</v>
      </c>
      <c r="B537" s="4" t="s">
        <v>30</v>
      </c>
      <c r="C537" s="4" t="s">
        <v>1064</v>
      </c>
      <c r="D537" s="4" t="s">
        <v>34</v>
      </c>
      <c r="E537" s="4">
        <v>0.244059</v>
      </c>
      <c r="F537" s="4">
        <v>9.5666499999999995E-3</v>
      </c>
      <c r="G537" s="4">
        <v>1</v>
      </c>
      <c r="H537" s="4">
        <v>1</v>
      </c>
      <c r="I537" s="4">
        <v>1</v>
      </c>
      <c r="J537" s="4">
        <v>1</v>
      </c>
      <c r="K537" s="4" t="s">
        <v>1056</v>
      </c>
      <c r="L537" s="4" t="s">
        <v>1065</v>
      </c>
      <c r="M537" s="4" t="s">
        <v>34</v>
      </c>
      <c r="N537" s="4">
        <v>0</v>
      </c>
      <c r="O537" s="4">
        <v>809.47672999999998</v>
      </c>
      <c r="P537" s="4" t="s">
        <v>30</v>
      </c>
      <c r="Q537" s="4" t="s">
        <v>30</v>
      </c>
      <c r="R537" s="4">
        <v>4.1380000000000002E-3</v>
      </c>
      <c r="S537" s="4">
        <v>0.1348</v>
      </c>
      <c r="T537" s="4">
        <v>1.43</v>
      </c>
    </row>
    <row r="538" spans="1:30" x14ac:dyDescent="0.2">
      <c r="A538" s="3" t="s">
        <v>941</v>
      </c>
      <c r="B538" s="3" t="s">
        <v>31</v>
      </c>
      <c r="C538" s="3" t="s">
        <v>1066</v>
      </c>
      <c r="D538" s="3" t="s">
        <v>1067</v>
      </c>
      <c r="E538" s="3">
        <v>1.7000000000000001E-2</v>
      </c>
      <c r="F538" s="3">
        <v>0.86499999999999999</v>
      </c>
      <c r="G538" s="3">
        <v>7</v>
      </c>
      <c r="H538" s="3">
        <v>1</v>
      </c>
      <c r="I538" s="3">
        <v>1</v>
      </c>
      <c r="J538" s="3">
        <v>1</v>
      </c>
      <c r="K538" s="3">
        <v>1</v>
      </c>
      <c r="L538" s="3">
        <v>239</v>
      </c>
      <c r="M538" s="3">
        <v>27.6</v>
      </c>
      <c r="N538" s="3">
        <v>8.51</v>
      </c>
      <c r="O538" s="3">
        <v>0</v>
      </c>
      <c r="P538" s="3">
        <v>1</v>
      </c>
      <c r="Q538" s="3" t="s">
        <v>842</v>
      </c>
      <c r="R538" s="3" t="s">
        <v>1068</v>
      </c>
      <c r="S538" s="3" t="s">
        <v>561</v>
      </c>
      <c r="T538" s="3" t="s">
        <v>1069</v>
      </c>
      <c r="U538" s="3" t="s">
        <v>1070</v>
      </c>
      <c r="V538" s="3" t="s">
        <v>1071</v>
      </c>
      <c r="W538" s="3" t="s">
        <v>34</v>
      </c>
      <c r="X538" s="3" t="s">
        <v>1072</v>
      </c>
      <c r="Y538" s="3" t="s">
        <v>1073</v>
      </c>
      <c r="Z538" s="3" t="s">
        <v>34</v>
      </c>
      <c r="AA538" s="3">
        <v>1</v>
      </c>
      <c r="AB538" s="3" t="s">
        <v>30</v>
      </c>
      <c r="AC538" s="3">
        <v>1</v>
      </c>
      <c r="AD538" s="3" t="s">
        <v>1074</v>
      </c>
    </row>
    <row r="539" spans="1:30" hidden="1" outlineLevel="1" collapsed="1" x14ac:dyDescent="0.2">
      <c r="A539" t="s">
        <v>34</v>
      </c>
      <c r="B539" s="2" t="s">
        <v>36</v>
      </c>
      <c r="C539" s="2" t="s">
        <v>37</v>
      </c>
      <c r="D539" s="2" t="s">
        <v>29</v>
      </c>
      <c r="E539" s="2" t="s">
        <v>38</v>
      </c>
      <c r="F539" s="2" t="s">
        <v>39</v>
      </c>
      <c r="G539" s="2" t="s">
        <v>28</v>
      </c>
      <c r="H539" s="2" t="s">
        <v>40</v>
      </c>
      <c r="I539" s="2" t="s">
        <v>8</v>
      </c>
      <c r="J539" s="2" t="s">
        <v>9</v>
      </c>
      <c r="K539" s="2" t="s">
        <v>41</v>
      </c>
      <c r="L539" s="2" t="s">
        <v>42</v>
      </c>
      <c r="M539" s="2" t="s">
        <v>43</v>
      </c>
      <c r="N539" s="2" t="s">
        <v>44</v>
      </c>
      <c r="O539" s="2" t="s">
        <v>45</v>
      </c>
      <c r="P539" s="2" t="s">
        <v>27</v>
      </c>
      <c r="Q539" s="2" t="s">
        <v>46</v>
      </c>
      <c r="R539" s="2" t="s">
        <v>47</v>
      </c>
      <c r="S539" s="2" t="s">
        <v>48</v>
      </c>
      <c r="T539" s="2" t="s">
        <v>49</v>
      </c>
    </row>
    <row r="540" spans="1:30" hidden="1" outlineLevel="1" collapsed="1" x14ac:dyDescent="0.2">
      <c r="A540" t="s">
        <v>34</v>
      </c>
      <c r="B540" s="4" t="s">
        <v>30</v>
      </c>
      <c r="C540" s="4" t="s">
        <v>1075</v>
      </c>
      <c r="D540" s="4" t="s">
        <v>1076</v>
      </c>
      <c r="E540" s="4">
        <v>0.247145</v>
      </c>
      <c r="F540" s="4">
        <v>9.5666499999999995E-3</v>
      </c>
      <c r="G540" s="4">
        <v>1</v>
      </c>
      <c r="H540" s="4">
        <v>1</v>
      </c>
      <c r="I540" s="4">
        <v>1</v>
      </c>
      <c r="J540" s="4">
        <v>1</v>
      </c>
      <c r="K540" s="4" t="s">
        <v>1066</v>
      </c>
      <c r="L540" s="4" t="s">
        <v>1077</v>
      </c>
      <c r="M540" s="4" t="s">
        <v>1078</v>
      </c>
      <c r="N540" s="4">
        <v>0</v>
      </c>
      <c r="O540" s="4">
        <v>2159.8712300000002</v>
      </c>
      <c r="P540" s="4" t="s">
        <v>30</v>
      </c>
      <c r="Q540" s="4" t="s">
        <v>30</v>
      </c>
      <c r="R540" s="4">
        <v>4.1380000000000002E-3</v>
      </c>
      <c r="S540" s="4">
        <v>0.13650000000000001</v>
      </c>
      <c r="T540" s="4">
        <v>1.57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63"/>
  <sheetViews>
    <sheetView workbookViewId="0">
      <selection activeCell="C4" sqref="C4"/>
    </sheetView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3" t="s">
        <v>30</v>
      </c>
      <c r="B2" s="3" t="s">
        <v>31</v>
      </c>
      <c r="C2" s="3" t="s">
        <v>32</v>
      </c>
      <c r="D2" s="3" t="s">
        <v>33</v>
      </c>
      <c r="E2" s="3">
        <v>0</v>
      </c>
      <c r="F2" s="3">
        <v>95.370999999999995</v>
      </c>
      <c r="G2" s="3">
        <v>52</v>
      </c>
      <c r="H2" s="3">
        <v>33</v>
      </c>
      <c r="I2" s="3">
        <v>38</v>
      </c>
      <c r="J2" s="3">
        <v>133</v>
      </c>
      <c r="K2" s="3">
        <v>30</v>
      </c>
      <c r="L2" s="3">
        <v>644</v>
      </c>
      <c r="M2" s="3">
        <v>66</v>
      </c>
      <c r="N2" s="3">
        <v>8.1199999999999992</v>
      </c>
      <c r="O2" s="3">
        <v>212.62</v>
      </c>
      <c r="P2" s="3">
        <v>33</v>
      </c>
      <c r="Q2" s="3" t="s">
        <v>34</v>
      </c>
      <c r="R2" s="3" t="s">
        <v>34</v>
      </c>
      <c r="S2" s="3" t="s">
        <v>34</v>
      </c>
      <c r="T2" s="3" t="s">
        <v>34</v>
      </c>
      <c r="U2" s="3" t="s">
        <v>34</v>
      </c>
      <c r="V2" s="3" t="s">
        <v>32</v>
      </c>
      <c r="W2" s="3" t="s">
        <v>34</v>
      </c>
      <c r="X2" s="3" t="s">
        <v>34</v>
      </c>
      <c r="Y2" s="3" t="s">
        <v>34</v>
      </c>
      <c r="Z2" s="3" t="s">
        <v>34</v>
      </c>
      <c r="AA2" s="3">
        <v>0</v>
      </c>
      <c r="AB2" s="3" t="s">
        <v>30</v>
      </c>
      <c r="AC2" s="3">
        <v>1</v>
      </c>
      <c r="AD2" s="3" t="s">
        <v>35</v>
      </c>
    </row>
    <row r="3" spans="1:30" x14ac:dyDescent="0.2">
      <c r="A3" s="3" t="s">
        <v>30</v>
      </c>
      <c r="B3" s="3" t="s">
        <v>31</v>
      </c>
      <c r="C3" s="3" t="s">
        <v>127</v>
      </c>
      <c r="D3" s="3" t="s">
        <v>128</v>
      </c>
      <c r="E3" s="3">
        <v>0</v>
      </c>
      <c r="F3" s="3">
        <v>78.671999999999997</v>
      </c>
      <c r="G3" s="3">
        <v>42</v>
      </c>
      <c r="H3" s="3">
        <v>33</v>
      </c>
      <c r="I3" s="3">
        <v>35</v>
      </c>
      <c r="J3" s="3">
        <v>69</v>
      </c>
      <c r="K3" s="3">
        <v>33</v>
      </c>
      <c r="L3" s="3">
        <v>821</v>
      </c>
      <c r="M3" s="3">
        <v>95.3</v>
      </c>
      <c r="N3" s="3">
        <v>4.91</v>
      </c>
      <c r="O3" s="3">
        <v>137.91999999999999</v>
      </c>
      <c r="P3" s="3">
        <v>33</v>
      </c>
      <c r="Q3" s="3" t="s">
        <v>129</v>
      </c>
      <c r="R3" s="3" t="s">
        <v>130</v>
      </c>
      <c r="S3" s="3" t="s">
        <v>34</v>
      </c>
      <c r="T3" s="3" t="s">
        <v>131</v>
      </c>
      <c r="U3" s="3" t="s">
        <v>132</v>
      </c>
      <c r="V3" s="3" t="s">
        <v>133</v>
      </c>
      <c r="W3" s="3" t="s">
        <v>34</v>
      </c>
      <c r="X3" s="3" t="s">
        <v>134</v>
      </c>
      <c r="Y3" s="3" t="s">
        <v>34</v>
      </c>
      <c r="Z3" s="3" t="s">
        <v>34</v>
      </c>
      <c r="AA3" s="3">
        <v>0</v>
      </c>
      <c r="AB3" s="3" t="s">
        <v>30</v>
      </c>
      <c r="AC3" s="3">
        <v>1</v>
      </c>
      <c r="AD3" s="3" t="s">
        <v>135</v>
      </c>
    </row>
    <row r="4" spans="1:30" x14ac:dyDescent="0.2">
      <c r="A4" s="3" t="s">
        <v>30</v>
      </c>
      <c r="B4" s="3" t="s">
        <v>31</v>
      </c>
      <c r="C4" s="3" t="s">
        <v>216</v>
      </c>
      <c r="D4" s="3" t="s">
        <v>217</v>
      </c>
      <c r="E4" s="3">
        <v>0</v>
      </c>
      <c r="F4" s="3">
        <v>72.765000000000001</v>
      </c>
      <c r="G4" s="3">
        <v>44</v>
      </c>
      <c r="H4" s="3">
        <v>26</v>
      </c>
      <c r="I4" s="3">
        <v>28</v>
      </c>
      <c r="J4" s="3">
        <v>72</v>
      </c>
      <c r="K4" s="3">
        <v>19</v>
      </c>
      <c r="L4" s="3">
        <v>645</v>
      </c>
      <c r="M4" s="3">
        <v>65.8</v>
      </c>
      <c r="N4" s="3">
        <v>8</v>
      </c>
      <c r="O4" s="3">
        <v>100.66</v>
      </c>
      <c r="P4" s="3">
        <v>26</v>
      </c>
      <c r="Q4" s="3" t="s">
        <v>34</v>
      </c>
      <c r="R4" s="3" t="s">
        <v>34</v>
      </c>
      <c r="S4" s="3" t="s">
        <v>34</v>
      </c>
      <c r="T4" s="3" t="s">
        <v>34</v>
      </c>
      <c r="U4" s="3" t="s">
        <v>34</v>
      </c>
      <c r="V4" s="3" t="s">
        <v>216</v>
      </c>
      <c r="W4" s="3" t="s">
        <v>34</v>
      </c>
      <c r="X4" s="3" t="s">
        <v>34</v>
      </c>
      <c r="Y4" s="3" t="s">
        <v>34</v>
      </c>
      <c r="Z4" s="3" t="s">
        <v>34</v>
      </c>
      <c r="AA4" s="3">
        <v>0</v>
      </c>
      <c r="AB4" s="3" t="s">
        <v>30</v>
      </c>
      <c r="AC4" s="3">
        <v>1</v>
      </c>
      <c r="AD4" s="3" t="s">
        <v>34</v>
      </c>
    </row>
    <row r="5" spans="1:30" x14ac:dyDescent="0.2">
      <c r="A5" s="3" t="s">
        <v>30</v>
      </c>
      <c r="B5" s="3" t="s">
        <v>31</v>
      </c>
      <c r="C5" s="3" t="s">
        <v>216</v>
      </c>
      <c r="D5" s="3" t="s">
        <v>272</v>
      </c>
      <c r="E5" s="3">
        <v>0</v>
      </c>
      <c r="F5" s="3">
        <v>63.027000000000001</v>
      </c>
      <c r="G5" s="3">
        <v>42</v>
      </c>
      <c r="H5" s="3">
        <v>26</v>
      </c>
      <c r="I5" s="3">
        <v>27</v>
      </c>
      <c r="J5" s="3">
        <v>93</v>
      </c>
      <c r="K5" s="3">
        <v>19</v>
      </c>
      <c r="L5" s="3">
        <v>593</v>
      </c>
      <c r="M5" s="3">
        <v>59.5</v>
      </c>
      <c r="N5" s="3">
        <v>5.21</v>
      </c>
      <c r="O5" s="3">
        <v>98.77</v>
      </c>
      <c r="P5" s="3">
        <v>26</v>
      </c>
      <c r="Q5" s="3" t="s">
        <v>34</v>
      </c>
      <c r="R5" s="3" t="s">
        <v>34</v>
      </c>
      <c r="S5" s="3" t="s">
        <v>34</v>
      </c>
      <c r="T5" s="3" t="s">
        <v>34</v>
      </c>
      <c r="U5" s="3" t="s">
        <v>34</v>
      </c>
      <c r="V5" s="3" t="s">
        <v>216</v>
      </c>
      <c r="W5" s="3" t="s">
        <v>34</v>
      </c>
      <c r="X5" s="3" t="s">
        <v>34</v>
      </c>
      <c r="Y5" s="3" t="s">
        <v>34</v>
      </c>
      <c r="Z5" s="3" t="s">
        <v>34</v>
      </c>
      <c r="AA5" s="3">
        <v>0</v>
      </c>
      <c r="AB5" s="3" t="s">
        <v>30</v>
      </c>
      <c r="AC5" s="3">
        <v>1</v>
      </c>
      <c r="AD5" s="3" t="s">
        <v>34</v>
      </c>
    </row>
    <row r="6" spans="1:30" x14ac:dyDescent="0.2">
      <c r="A6" s="3" t="s">
        <v>30</v>
      </c>
      <c r="B6" s="3" t="s">
        <v>31</v>
      </c>
      <c r="C6" s="3" t="s">
        <v>334</v>
      </c>
      <c r="D6" s="3" t="s">
        <v>335</v>
      </c>
      <c r="E6" s="3">
        <v>0</v>
      </c>
      <c r="F6" s="3">
        <v>49.930999999999997</v>
      </c>
      <c r="G6" s="3">
        <v>33</v>
      </c>
      <c r="H6" s="3">
        <v>19</v>
      </c>
      <c r="I6" s="3">
        <v>22</v>
      </c>
      <c r="J6" s="3">
        <v>92</v>
      </c>
      <c r="K6" s="3">
        <v>18</v>
      </c>
      <c r="L6" s="3">
        <v>623</v>
      </c>
      <c r="M6" s="3">
        <v>62</v>
      </c>
      <c r="N6" s="3">
        <v>5.24</v>
      </c>
      <c r="O6" s="3">
        <v>93.92</v>
      </c>
      <c r="P6" s="3">
        <v>19</v>
      </c>
      <c r="Q6" s="3" t="s">
        <v>336</v>
      </c>
      <c r="R6" s="3" t="s">
        <v>337</v>
      </c>
      <c r="S6" s="3" t="s">
        <v>338</v>
      </c>
      <c r="T6" s="3" t="s">
        <v>339</v>
      </c>
      <c r="U6" s="3" t="s">
        <v>340</v>
      </c>
      <c r="V6" s="3" t="s">
        <v>341</v>
      </c>
      <c r="W6" s="3" t="s">
        <v>342</v>
      </c>
      <c r="X6" s="3" t="s">
        <v>343</v>
      </c>
      <c r="Y6" s="3" t="s">
        <v>344</v>
      </c>
      <c r="Z6" s="3" t="s">
        <v>34</v>
      </c>
      <c r="AA6" s="3">
        <v>2</v>
      </c>
      <c r="AB6" s="3" t="s">
        <v>30</v>
      </c>
      <c r="AC6" s="3">
        <v>1</v>
      </c>
      <c r="AD6" s="3" t="s">
        <v>34</v>
      </c>
    </row>
    <row r="7" spans="1:30" x14ac:dyDescent="0.2">
      <c r="A7" s="3" t="s">
        <v>30</v>
      </c>
      <c r="B7" s="3" t="s">
        <v>31</v>
      </c>
      <c r="C7" s="3" t="s">
        <v>383</v>
      </c>
      <c r="D7" s="3" t="s">
        <v>384</v>
      </c>
      <c r="E7" s="3">
        <v>0</v>
      </c>
      <c r="F7" s="3">
        <v>43.857999999999997</v>
      </c>
      <c r="G7" s="3">
        <v>44</v>
      </c>
      <c r="H7" s="3">
        <v>20</v>
      </c>
      <c r="I7" s="3">
        <v>21</v>
      </c>
      <c r="J7" s="3">
        <v>69</v>
      </c>
      <c r="K7" s="3">
        <v>6</v>
      </c>
      <c r="L7" s="3">
        <v>471</v>
      </c>
      <c r="M7" s="3">
        <v>51.5</v>
      </c>
      <c r="N7" s="3">
        <v>5.16</v>
      </c>
      <c r="O7" s="3">
        <v>70.010000000000005</v>
      </c>
      <c r="P7" s="3">
        <v>20</v>
      </c>
      <c r="Q7" s="3" t="s">
        <v>34</v>
      </c>
      <c r="R7" s="3" t="s">
        <v>34</v>
      </c>
      <c r="S7" s="3" t="s">
        <v>34</v>
      </c>
      <c r="T7" s="3" t="s">
        <v>34</v>
      </c>
      <c r="U7" s="3" t="s">
        <v>34</v>
      </c>
      <c r="V7" s="3" t="s">
        <v>383</v>
      </c>
      <c r="W7" s="3" t="s">
        <v>34</v>
      </c>
      <c r="X7" s="3" t="s">
        <v>34</v>
      </c>
      <c r="Y7" s="3" t="s">
        <v>34</v>
      </c>
      <c r="Z7" s="3" t="s">
        <v>34</v>
      </c>
      <c r="AA7" s="3">
        <v>0</v>
      </c>
      <c r="AB7" s="3" t="s">
        <v>30</v>
      </c>
      <c r="AC7" s="3">
        <v>1</v>
      </c>
      <c r="AD7" s="3" t="s">
        <v>34</v>
      </c>
    </row>
    <row r="8" spans="1:30" x14ac:dyDescent="0.2">
      <c r="A8" s="3" t="s">
        <v>30</v>
      </c>
      <c r="B8" s="3" t="s">
        <v>31</v>
      </c>
      <c r="C8" s="3" t="s">
        <v>423</v>
      </c>
      <c r="D8" s="3" t="s">
        <v>424</v>
      </c>
      <c r="E8" s="3">
        <v>0</v>
      </c>
      <c r="F8" s="3">
        <v>39.412999999999997</v>
      </c>
      <c r="G8" s="3">
        <v>32</v>
      </c>
      <c r="H8" s="3">
        <v>20</v>
      </c>
      <c r="I8" s="3">
        <v>20</v>
      </c>
      <c r="J8" s="3">
        <v>35</v>
      </c>
      <c r="K8" s="3">
        <v>12</v>
      </c>
      <c r="L8" s="3">
        <v>590</v>
      </c>
      <c r="M8" s="3">
        <v>62.4</v>
      </c>
      <c r="N8" s="3">
        <v>8.06</v>
      </c>
      <c r="O8" s="3">
        <v>47.59</v>
      </c>
      <c r="P8" s="3">
        <v>20</v>
      </c>
      <c r="Q8" s="3" t="s">
        <v>34</v>
      </c>
      <c r="R8" s="3" t="s">
        <v>34</v>
      </c>
      <c r="S8" s="3" t="s">
        <v>34</v>
      </c>
      <c r="T8" s="3" t="s">
        <v>34</v>
      </c>
      <c r="U8" s="3" t="s">
        <v>34</v>
      </c>
      <c r="V8" s="3" t="s">
        <v>423</v>
      </c>
      <c r="W8" s="3" t="s">
        <v>34</v>
      </c>
      <c r="X8" s="3" t="s">
        <v>34</v>
      </c>
      <c r="Y8" s="3" t="s">
        <v>34</v>
      </c>
      <c r="Z8" s="3" t="s">
        <v>34</v>
      </c>
      <c r="AA8" s="3">
        <v>0</v>
      </c>
      <c r="AB8" s="3" t="s">
        <v>30</v>
      </c>
      <c r="AC8" s="3">
        <v>1</v>
      </c>
      <c r="AD8" s="3" t="s">
        <v>34</v>
      </c>
    </row>
    <row r="9" spans="1:30" x14ac:dyDescent="0.2">
      <c r="A9" s="3" t="s">
        <v>30</v>
      </c>
      <c r="B9" s="3" t="s">
        <v>31</v>
      </c>
      <c r="C9" s="3" t="s">
        <v>463</v>
      </c>
      <c r="D9" s="3" t="s">
        <v>464</v>
      </c>
      <c r="E9" s="3">
        <v>0</v>
      </c>
      <c r="F9" s="3">
        <v>35.173000000000002</v>
      </c>
      <c r="G9" s="3">
        <v>36</v>
      </c>
      <c r="H9" s="3">
        <v>20</v>
      </c>
      <c r="I9" s="3">
        <v>20</v>
      </c>
      <c r="J9" s="3">
        <v>34</v>
      </c>
      <c r="K9" s="3">
        <v>2</v>
      </c>
      <c r="L9" s="3">
        <v>563</v>
      </c>
      <c r="M9" s="3">
        <v>59.8</v>
      </c>
      <c r="N9" s="3">
        <v>8</v>
      </c>
      <c r="O9" s="3">
        <v>38.82</v>
      </c>
      <c r="P9" s="3">
        <v>20</v>
      </c>
      <c r="Q9" s="3" t="s">
        <v>34</v>
      </c>
      <c r="R9" s="3" t="s">
        <v>34</v>
      </c>
      <c r="S9" s="3" t="s">
        <v>34</v>
      </c>
      <c r="T9" s="3" t="s">
        <v>34</v>
      </c>
      <c r="U9" s="3" t="s">
        <v>34</v>
      </c>
      <c r="V9" s="3" t="s">
        <v>463</v>
      </c>
      <c r="W9" s="3" t="s">
        <v>34</v>
      </c>
      <c r="X9" s="3" t="s">
        <v>34</v>
      </c>
      <c r="Y9" s="3" t="s">
        <v>34</v>
      </c>
      <c r="Z9" s="3" t="s">
        <v>34</v>
      </c>
      <c r="AA9" s="3">
        <v>0</v>
      </c>
      <c r="AB9" s="3" t="s">
        <v>30</v>
      </c>
      <c r="AC9" s="3">
        <v>1</v>
      </c>
      <c r="AD9" s="3" t="s">
        <v>34</v>
      </c>
    </row>
    <row r="10" spans="1:30" x14ac:dyDescent="0.2">
      <c r="A10" s="3" t="s">
        <v>30</v>
      </c>
      <c r="B10" s="3" t="s">
        <v>31</v>
      </c>
      <c r="C10" s="3" t="s">
        <v>490</v>
      </c>
      <c r="D10" s="3" t="s">
        <v>491</v>
      </c>
      <c r="E10" s="3">
        <v>0</v>
      </c>
      <c r="F10" s="3">
        <v>34.606999999999999</v>
      </c>
      <c r="G10" s="3">
        <v>36</v>
      </c>
      <c r="H10" s="3">
        <v>20</v>
      </c>
      <c r="I10" s="3">
        <v>20</v>
      </c>
      <c r="J10" s="3">
        <v>33</v>
      </c>
      <c r="K10" s="3">
        <v>2</v>
      </c>
      <c r="L10" s="3">
        <v>563</v>
      </c>
      <c r="M10" s="3">
        <v>60</v>
      </c>
      <c r="N10" s="3">
        <v>8</v>
      </c>
      <c r="O10" s="3">
        <v>35.76</v>
      </c>
      <c r="P10" s="3">
        <v>20</v>
      </c>
      <c r="Q10" s="3" t="s">
        <v>34</v>
      </c>
      <c r="R10" s="3" t="s">
        <v>34</v>
      </c>
      <c r="S10" s="3" t="s">
        <v>34</v>
      </c>
      <c r="T10" s="3" t="s">
        <v>34</v>
      </c>
      <c r="U10" s="3" t="s">
        <v>34</v>
      </c>
      <c r="V10" s="3" t="s">
        <v>490</v>
      </c>
      <c r="W10" s="3" t="s">
        <v>34</v>
      </c>
      <c r="X10" s="3" t="s">
        <v>34</v>
      </c>
      <c r="Y10" s="3" t="s">
        <v>34</v>
      </c>
      <c r="Z10" s="3" t="s">
        <v>34</v>
      </c>
      <c r="AA10" s="3">
        <v>0</v>
      </c>
      <c r="AB10" s="3" t="s">
        <v>30</v>
      </c>
      <c r="AC10" s="3">
        <v>1</v>
      </c>
      <c r="AD10" s="3" t="s">
        <v>34</v>
      </c>
    </row>
    <row r="11" spans="1:30" x14ac:dyDescent="0.2">
      <c r="A11" s="3" t="s">
        <v>30</v>
      </c>
      <c r="B11" s="3" t="s">
        <v>31</v>
      </c>
      <c r="C11" s="3" t="s">
        <v>496</v>
      </c>
      <c r="D11" s="3" t="s">
        <v>497</v>
      </c>
      <c r="E11" s="3">
        <v>0</v>
      </c>
      <c r="F11" s="3">
        <v>33.966000000000001</v>
      </c>
      <c r="G11" s="3">
        <v>33</v>
      </c>
      <c r="H11" s="3">
        <v>17</v>
      </c>
      <c r="I11" s="3">
        <v>18</v>
      </c>
      <c r="J11" s="3">
        <v>61</v>
      </c>
      <c r="K11" s="3">
        <v>6</v>
      </c>
      <c r="L11" s="3">
        <v>472</v>
      </c>
      <c r="M11" s="3">
        <v>51.1</v>
      </c>
      <c r="N11" s="3">
        <v>5.05</v>
      </c>
      <c r="O11" s="3">
        <v>51.33</v>
      </c>
      <c r="P11" s="3">
        <v>17</v>
      </c>
      <c r="Q11" s="3" t="s">
        <v>34</v>
      </c>
      <c r="R11" s="3" t="s">
        <v>34</v>
      </c>
      <c r="S11" s="3" t="s">
        <v>34</v>
      </c>
      <c r="T11" s="3" t="s">
        <v>34</v>
      </c>
      <c r="U11" s="3" t="s">
        <v>34</v>
      </c>
      <c r="V11" s="3" t="s">
        <v>496</v>
      </c>
      <c r="W11" s="3" t="s">
        <v>34</v>
      </c>
      <c r="X11" s="3" t="s">
        <v>34</v>
      </c>
      <c r="Y11" s="3" t="s">
        <v>34</v>
      </c>
      <c r="Z11" s="3" t="s">
        <v>34</v>
      </c>
      <c r="AA11" s="3">
        <v>0</v>
      </c>
      <c r="AB11" s="3" t="s">
        <v>30</v>
      </c>
      <c r="AC11" s="3">
        <v>1</v>
      </c>
      <c r="AD11" s="3" t="s">
        <v>34</v>
      </c>
    </row>
    <row r="12" spans="1:30" x14ac:dyDescent="0.2">
      <c r="A12" s="3" t="s">
        <v>30</v>
      </c>
      <c r="B12" s="3" t="s">
        <v>31</v>
      </c>
      <c r="C12" s="3" t="s">
        <v>511</v>
      </c>
      <c r="D12" s="3" t="s">
        <v>512</v>
      </c>
      <c r="E12" s="3">
        <v>0</v>
      </c>
      <c r="F12" s="3">
        <v>20.001000000000001</v>
      </c>
      <c r="G12" s="3">
        <v>18</v>
      </c>
      <c r="H12" s="3">
        <v>9</v>
      </c>
      <c r="I12" s="3">
        <v>9</v>
      </c>
      <c r="J12" s="3">
        <v>29</v>
      </c>
      <c r="K12" s="3">
        <v>1</v>
      </c>
      <c r="L12" s="3">
        <v>431</v>
      </c>
      <c r="M12" s="3">
        <v>47.9</v>
      </c>
      <c r="N12" s="3">
        <v>5.0199999999999996</v>
      </c>
      <c r="O12" s="3">
        <v>21.58</v>
      </c>
      <c r="P12" s="3">
        <v>9</v>
      </c>
      <c r="Q12" s="3" t="s">
        <v>34</v>
      </c>
      <c r="R12" s="3" t="s">
        <v>34</v>
      </c>
      <c r="S12" s="3" t="s">
        <v>34</v>
      </c>
      <c r="T12" s="3" t="s">
        <v>34</v>
      </c>
      <c r="U12" s="3" t="s">
        <v>34</v>
      </c>
      <c r="V12" s="3" t="s">
        <v>511</v>
      </c>
      <c r="W12" s="3" t="s">
        <v>34</v>
      </c>
      <c r="X12" s="3" t="s">
        <v>34</v>
      </c>
      <c r="Y12" s="3" t="s">
        <v>34</v>
      </c>
      <c r="Z12" s="3" t="s">
        <v>34</v>
      </c>
      <c r="AA12" s="3">
        <v>0</v>
      </c>
      <c r="AB12" s="3" t="s">
        <v>30</v>
      </c>
      <c r="AC12" s="3">
        <v>1</v>
      </c>
      <c r="AD12" s="3" t="s">
        <v>34</v>
      </c>
    </row>
    <row r="13" spans="1:30" x14ac:dyDescent="0.2">
      <c r="A13" s="3" t="s">
        <v>30</v>
      </c>
      <c r="B13" s="3" t="s">
        <v>31</v>
      </c>
      <c r="C13" s="3" t="s">
        <v>515</v>
      </c>
      <c r="D13" s="3" t="s">
        <v>516</v>
      </c>
      <c r="E13" s="3">
        <v>0</v>
      </c>
      <c r="F13" s="3">
        <v>18.286000000000001</v>
      </c>
      <c r="G13" s="3">
        <v>6</v>
      </c>
      <c r="H13" s="3">
        <v>10</v>
      </c>
      <c r="I13" s="3">
        <v>10</v>
      </c>
      <c r="J13" s="3">
        <v>11</v>
      </c>
      <c r="K13" s="3">
        <v>10</v>
      </c>
      <c r="L13" s="3">
        <v>1513</v>
      </c>
      <c r="M13" s="3">
        <v>174.1</v>
      </c>
      <c r="N13" s="3">
        <v>6.32</v>
      </c>
      <c r="O13" s="3">
        <v>10.24</v>
      </c>
      <c r="P13" s="3">
        <v>10</v>
      </c>
      <c r="Q13" s="3" t="s">
        <v>517</v>
      </c>
      <c r="R13" s="3" t="s">
        <v>518</v>
      </c>
      <c r="S13" s="3" t="s">
        <v>338</v>
      </c>
      <c r="T13" s="3" t="s">
        <v>519</v>
      </c>
      <c r="U13" s="3" t="s">
        <v>520</v>
      </c>
      <c r="V13" s="3" t="s">
        <v>521</v>
      </c>
      <c r="W13" s="3" t="s">
        <v>34</v>
      </c>
      <c r="X13" s="3" t="s">
        <v>522</v>
      </c>
      <c r="Y13" s="3" t="s">
        <v>34</v>
      </c>
      <c r="Z13" s="3" t="s">
        <v>34</v>
      </c>
      <c r="AA13" s="3">
        <v>0</v>
      </c>
      <c r="AB13" s="3" t="s">
        <v>30</v>
      </c>
      <c r="AC13" s="3">
        <v>1</v>
      </c>
      <c r="AD13" s="3" t="s">
        <v>34</v>
      </c>
    </row>
    <row r="14" spans="1:30" x14ac:dyDescent="0.2">
      <c r="A14" s="3" t="s">
        <v>30</v>
      </c>
      <c r="B14" s="3" t="s">
        <v>31</v>
      </c>
      <c r="C14" s="3" t="s">
        <v>543</v>
      </c>
      <c r="D14" s="3" t="s">
        <v>544</v>
      </c>
      <c r="E14" s="3">
        <v>0</v>
      </c>
      <c r="F14" s="3">
        <v>18.141999999999999</v>
      </c>
      <c r="G14" s="3">
        <v>11</v>
      </c>
      <c r="H14" s="3">
        <v>8</v>
      </c>
      <c r="I14" s="3">
        <v>9</v>
      </c>
      <c r="J14" s="3">
        <v>12</v>
      </c>
      <c r="K14" s="3">
        <v>2</v>
      </c>
      <c r="L14" s="3">
        <v>629</v>
      </c>
      <c r="M14" s="3">
        <v>64.5</v>
      </c>
      <c r="N14" s="3">
        <v>6.48</v>
      </c>
      <c r="O14" s="3">
        <v>16.239999999999998</v>
      </c>
      <c r="P14" s="3">
        <v>8</v>
      </c>
      <c r="Q14" s="3" t="s">
        <v>34</v>
      </c>
      <c r="R14" s="3" t="s">
        <v>34</v>
      </c>
      <c r="S14" s="3" t="s">
        <v>34</v>
      </c>
      <c r="T14" s="3" t="s">
        <v>34</v>
      </c>
      <c r="U14" s="3" t="s">
        <v>34</v>
      </c>
      <c r="V14" s="3" t="s">
        <v>543</v>
      </c>
      <c r="W14" s="3" t="s">
        <v>34</v>
      </c>
      <c r="X14" s="3" t="s">
        <v>34</v>
      </c>
      <c r="Y14" s="3" t="s">
        <v>34</v>
      </c>
      <c r="Z14" s="3" t="s">
        <v>34</v>
      </c>
      <c r="AA14" s="3">
        <v>0</v>
      </c>
      <c r="AB14" s="3" t="s">
        <v>30</v>
      </c>
      <c r="AC14" s="3">
        <v>1</v>
      </c>
      <c r="AD14" s="3" t="s">
        <v>34</v>
      </c>
    </row>
    <row r="15" spans="1:30" x14ac:dyDescent="0.2">
      <c r="A15" s="3" t="s">
        <v>30</v>
      </c>
      <c r="B15" s="3" t="s">
        <v>31</v>
      </c>
      <c r="C15" s="3" t="s">
        <v>558</v>
      </c>
      <c r="D15" s="3" t="s">
        <v>559</v>
      </c>
      <c r="E15" s="3">
        <v>0</v>
      </c>
      <c r="F15" s="3">
        <v>17.422000000000001</v>
      </c>
      <c r="G15" s="3">
        <v>19</v>
      </c>
      <c r="H15" s="3">
        <v>10</v>
      </c>
      <c r="I15" s="3">
        <v>10</v>
      </c>
      <c r="J15" s="3">
        <v>28</v>
      </c>
      <c r="K15" s="3">
        <v>5</v>
      </c>
      <c r="L15" s="3">
        <v>458</v>
      </c>
      <c r="M15" s="3">
        <v>49.6</v>
      </c>
      <c r="N15" s="3">
        <v>4.96</v>
      </c>
      <c r="O15" s="3">
        <v>23.91</v>
      </c>
      <c r="P15" s="3">
        <v>10</v>
      </c>
      <c r="Q15" s="3" t="s">
        <v>560</v>
      </c>
      <c r="R15" s="3" t="s">
        <v>337</v>
      </c>
      <c r="S15" s="3" t="s">
        <v>561</v>
      </c>
      <c r="T15" s="3" t="s">
        <v>339</v>
      </c>
      <c r="U15" s="3" t="s">
        <v>562</v>
      </c>
      <c r="V15" s="3" t="s">
        <v>563</v>
      </c>
      <c r="W15" s="3" t="s">
        <v>564</v>
      </c>
      <c r="X15" s="3" t="s">
        <v>565</v>
      </c>
      <c r="Y15" s="3" t="s">
        <v>344</v>
      </c>
      <c r="Z15" s="3" t="s">
        <v>566</v>
      </c>
      <c r="AA15" s="3">
        <v>3</v>
      </c>
      <c r="AB15" s="3" t="s">
        <v>30</v>
      </c>
      <c r="AC15" s="3">
        <v>1</v>
      </c>
      <c r="AD15" s="3" t="s">
        <v>34</v>
      </c>
    </row>
    <row r="16" spans="1:30" x14ac:dyDescent="0.2">
      <c r="A16" s="3" t="s">
        <v>30</v>
      </c>
      <c r="B16" s="3" t="s">
        <v>31</v>
      </c>
      <c r="C16" s="3" t="s">
        <v>577</v>
      </c>
      <c r="D16" s="3" t="s">
        <v>578</v>
      </c>
      <c r="E16" s="3">
        <v>0</v>
      </c>
      <c r="F16" s="3">
        <v>16.452000000000002</v>
      </c>
      <c r="G16" s="3">
        <v>12</v>
      </c>
      <c r="H16" s="3">
        <v>8</v>
      </c>
      <c r="I16" s="3">
        <v>8</v>
      </c>
      <c r="J16" s="3">
        <v>14</v>
      </c>
      <c r="K16" s="3">
        <v>3</v>
      </c>
      <c r="L16" s="3">
        <v>523</v>
      </c>
      <c r="M16" s="3">
        <v>57.3</v>
      </c>
      <c r="N16" s="3">
        <v>6.61</v>
      </c>
      <c r="O16" s="3">
        <v>17.29</v>
      </c>
      <c r="P16" s="3">
        <v>8</v>
      </c>
      <c r="Q16" s="3" t="s">
        <v>336</v>
      </c>
      <c r="R16" s="3" t="s">
        <v>337</v>
      </c>
      <c r="S16" s="3" t="s">
        <v>579</v>
      </c>
      <c r="T16" s="3" t="s">
        <v>580</v>
      </c>
      <c r="U16" s="3" t="s">
        <v>581</v>
      </c>
      <c r="V16" s="3" t="s">
        <v>582</v>
      </c>
      <c r="W16" s="3" t="s">
        <v>583</v>
      </c>
      <c r="X16" s="3" t="s">
        <v>584</v>
      </c>
      <c r="Y16" s="3" t="s">
        <v>344</v>
      </c>
      <c r="Z16" s="3" t="s">
        <v>566</v>
      </c>
      <c r="AA16" s="3">
        <v>3</v>
      </c>
      <c r="AB16" s="3" t="s">
        <v>30</v>
      </c>
      <c r="AC16" s="3">
        <v>1</v>
      </c>
      <c r="AD16" s="3" t="s">
        <v>34</v>
      </c>
    </row>
    <row r="17" spans="1:30" x14ac:dyDescent="0.2">
      <c r="A17" s="3" t="s">
        <v>30</v>
      </c>
      <c r="B17" s="3" t="s">
        <v>31</v>
      </c>
      <c r="C17" s="3" t="s">
        <v>597</v>
      </c>
      <c r="D17" s="3" t="s">
        <v>598</v>
      </c>
      <c r="E17" s="3">
        <v>0</v>
      </c>
      <c r="F17" s="3">
        <v>14.589</v>
      </c>
      <c r="G17" s="3">
        <v>11</v>
      </c>
      <c r="H17" s="3">
        <v>8</v>
      </c>
      <c r="I17" s="3">
        <v>9</v>
      </c>
      <c r="J17" s="3">
        <v>12</v>
      </c>
      <c r="K17" s="3">
        <v>3</v>
      </c>
      <c r="L17" s="3">
        <v>638</v>
      </c>
      <c r="M17" s="3">
        <v>65.8</v>
      </c>
      <c r="N17" s="3">
        <v>8.1199999999999992</v>
      </c>
      <c r="O17" s="3">
        <v>9.42</v>
      </c>
      <c r="P17" s="3">
        <v>8</v>
      </c>
      <c r="Q17" s="3" t="s">
        <v>34</v>
      </c>
      <c r="R17" s="3" t="s">
        <v>34</v>
      </c>
      <c r="S17" s="3" t="s">
        <v>34</v>
      </c>
      <c r="T17" s="3" t="s">
        <v>34</v>
      </c>
      <c r="U17" s="3" t="s">
        <v>34</v>
      </c>
      <c r="V17" s="3" t="s">
        <v>597</v>
      </c>
      <c r="W17" s="3" t="s">
        <v>34</v>
      </c>
      <c r="X17" s="3" t="s">
        <v>34</v>
      </c>
      <c r="Y17" s="3" t="s">
        <v>34</v>
      </c>
      <c r="Z17" s="3" t="s">
        <v>34</v>
      </c>
      <c r="AA17" s="3">
        <v>0</v>
      </c>
      <c r="AB17" s="3" t="s">
        <v>30</v>
      </c>
      <c r="AC17" s="3">
        <v>1</v>
      </c>
      <c r="AD17" s="3" t="s">
        <v>34</v>
      </c>
    </row>
    <row r="18" spans="1:30" x14ac:dyDescent="0.2">
      <c r="A18" s="3" t="s">
        <v>30</v>
      </c>
      <c r="B18" s="3" t="s">
        <v>31</v>
      </c>
      <c r="C18" s="3" t="s">
        <v>605</v>
      </c>
      <c r="D18" s="3" t="s">
        <v>606</v>
      </c>
      <c r="E18" s="3">
        <v>0</v>
      </c>
      <c r="F18" s="3">
        <v>14.173999999999999</v>
      </c>
      <c r="G18" s="3">
        <v>18</v>
      </c>
      <c r="H18" s="3">
        <v>11</v>
      </c>
      <c r="I18" s="3">
        <v>11</v>
      </c>
      <c r="J18" s="3">
        <v>11</v>
      </c>
      <c r="K18" s="3">
        <v>11</v>
      </c>
      <c r="L18" s="3">
        <v>452</v>
      </c>
      <c r="M18" s="3">
        <v>50.5</v>
      </c>
      <c r="N18" s="3">
        <v>5.67</v>
      </c>
      <c r="O18" s="3">
        <v>6.98</v>
      </c>
      <c r="P18" s="3">
        <v>11</v>
      </c>
      <c r="Q18" s="3" t="s">
        <v>34</v>
      </c>
      <c r="R18" s="3" t="s">
        <v>34</v>
      </c>
      <c r="S18" s="3" t="s">
        <v>34</v>
      </c>
      <c r="T18" s="3" t="s">
        <v>34</v>
      </c>
      <c r="U18" s="3" t="s">
        <v>34</v>
      </c>
      <c r="V18" s="3" t="s">
        <v>605</v>
      </c>
      <c r="W18" s="3" t="s">
        <v>34</v>
      </c>
      <c r="X18" s="3" t="s">
        <v>34</v>
      </c>
      <c r="Y18" s="3" t="s">
        <v>34</v>
      </c>
      <c r="Z18" s="3" t="s">
        <v>34</v>
      </c>
      <c r="AA18" s="3">
        <v>0</v>
      </c>
      <c r="AB18" s="3" t="s">
        <v>30</v>
      </c>
      <c r="AC18" s="3">
        <v>1</v>
      </c>
      <c r="AD18" s="3" t="s">
        <v>34</v>
      </c>
    </row>
    <row r="19" spans="1:30" x14ac:dyDescent="0.2">
      <c r="A19" s="3" t="s">
        <v>30</v>
      </c>
      <c r="B19" s="3" t="s">
        <v>31</v>
      </c>
      <c r="C19" s="3" t="s">
        <v>629</v>
      </c>
      <c r="D19" s="3" t="s">
        <v>630</v>
      </c>
      <c r="E19" s="3">
        <v>0</v>
      </c>
      <c r="F19" s="3">
        <v>13.397</v>
      </c>
      <c r="G19" s="3">
        <v>19</v>
      </c>
      <c r="H19" s="3">
        <v>11</v>
      </c>
      <c r="I19" s="3">
        <v>11</v>
      </c>
      <c r="J19" s="3">
        <v>16</v>
      </c>
      <c r="K19" s="3">
        <v>9</v>
      </c>
      <c r="L19" s="3">
        <v>578</v>
      </c>
      <c r="M19" s="3">
        <v>61.8</v>
      </c>
      <c r="N19" s="3">
        <v>5.97</v>
      </c>
      <c r="O19" s="3">
        <v>14.55</v>
      </c>
      <c r="P19" s="3">
        <v>11</v>
      </c>
      <c r="Q19" s="3" t="s">
        <v>34</v>
      </c>
      <c r="R19" s="3" t="s">
        <v>34</v>
      </c>
      <c r="S19" s="3" t="s">
        <v>34</v>
      </c>
      <c r="T19" s="3" t="s">
        <v>34</v>
      </c>
      <c r="U19" s="3" t="s">
        <v>34</v>
      </c>
      <c r="V19" s="3" t="s">
        <v>629</v>
      </c>
      <c r="W19" s="3" t="s">
        <v>34</v>
      </c>
      <c r="X19" s="3" t="s">
        <v>34</v>
      </c>
      <c r="Y19" s="3" t="s">
        <v>34</v>
      </c>
      <c r="Z19" s="3" t="s">
        <v>34</v>
      </c>
      <c r="AA19" s="3">
        <v>0</v>
      </c>
      <c r="AB19" s="3" t="s">
        <v>30</v>
      </c>
      <c r="AC19" s="3">
        <v>1</v>
      </c>
      <c r="AD19" s="3" t="s">
        <v>34</v>
      </c>
    </row>
    <row r="20" spans="1:30" x14ac:dyDescent="0.2">
      <c r="A20" s="3" t="s">
        <v>30</v>
      </c>
      <c r="B20" s="3" t="s">
        <v>31</v>
      </c>
      <c r="C20" s="3" t="s">
        <v>650</v>
      </c>
      <c r="D20" s="3" t="s">
        <v>651</v>
      </c>
      <c r="E20" s="3">
        <v>0</v>
      </c>
      <c r="F20" s="3">
        <v>13.260999999999999</v>
      </c>
      <c r="G20" s="3">
        <v>10</v>
      </c>
      <c r="H20" s="3">
        <v>8</v>
      </c>
      <c r="I20" s="3">
        <v>8</v>
      </c>
      <c r="J20" s="3">
        <v>12</v>
      </c>
      <c r="K20" s="3">
        <v>3</v>
      </c>
      <c r="L20" s="3">
        <v>608</v>
      </c>
      <c r="M20" s="3">
        <v>65</v>
      </c>
      <c r="N20" s="3">
        <v>8.25</v>
      </c>
      <c r="O20" s="3">
        <v>11.87</v>
      </c>
      <c r="P20" s="3">
        <v>8</v>
      </c>
      <c r="Q20" s="3" t="s">
        <v>34</v>
      </c>
      <c r="R20" s="3" t="s">
        <v>34</v>
      </c>
      <c r="S20" s="3" t="s">
        <v>34</v>
      </c>
      <c r="T20" s="3" t="s">
        <v>34</v>
      </c>
      <c r="U20" s="3" t="s">
        <v>34</v>
      </c>
      <c r="V20" s="3" t="s">
        <v>650</v>
      </c>
      <c r="W20" s="3" t="s">
        <v>34</v>
      </c>
      <c r="X20" s="3" t="s">
        <v>34</v>
      </c>
      <c r="Y20" s="3" t="s">
        <v>34</v>
      </c>
      <c r="Z20" s="3" t="s">
        <v>34</v>
      </c>
      <c r="AA20" s="3">
        <v>0</v>
      </c>
      <c r="AB20" s="3" t="s">
        <v>30</v>
      </c>
      <c r="AC20" s="3">
        <v>1</v>
      </c>
      <c r="AD20" s="3" t="s">
        <v>34</v>
      </c>
    </row>
    <row r="21" spans="1:30" x14ac:dyDescent="0.2">
      <c r="A21" s="3" t="s">
        <v>30</v>
      </c>
      <c r="B21" s="3" t="s">
        <v>31</v>
      </c>
      <c r="C21" s="3" t="s">
        <v>216</v>
      </c>
      <c r="D21" s="3" t="s">
        <v>658</v>
      </c>
      <c r="E21" s="3">
        <v>0</v>
      </c>
      <c r="F21" s="3">
        <v>12.815</v>
      </c>
      <c r="G21" s="3">
        <v>25</v>
      </c>
      <c r="H21" s="3">
        <v>4</v>
      </c>
      <c r="I21" s="3">
        <v>4</v>
      </c>
      <c r="J21" s="3">
        <v>99</v>
      </c>
      <c r="K21" s="3">
        <v>4</v>
      </c>
      <c r="L21" s="3">
        <v>231</v>
      </c>
      <c r="M21" s="3">
        <v>24.4</v>
      </c>
      <c r="N21" s="3">
        <v>7.18</v>
      </c>
      <c r="O21" s="3">
        <v>86.09</v>
      </c>
      <c r="P21" s="3">
        <v>4</v>
      </c>
      <c r="Q21" s="3" t="s">
        <v>659</v>
      </c>
      <c r="R21" s="3" t="s">
        <v>660</v>
      </c>
      <c r="S21" s="3" t="s">
        <v>561</v>
      </c>
      <c r="T21" s="3" t="s">
        <v>661</v>
      </c>
      <c r="U21" s="3" t="s">
        <v>34</v>
      </c>
      <c r="V21" s="3" t="s">
        <v>216</v>
      </c>
      <c r="W21" s="3" t="s">
        <v>34</v>
      </c>
      <c r="X21" s="3" t="s">
        <v>34</v>
      </c>
      <c r="Y21" s="3" t="s">
        <v>34</v>
      </c>
      <c r="Z21" s="3" t="s">
        <v>34</v>
      </c>
      <c r="AA21" s="3">
        <v>0</v>
      </c>
      <c r="AB21" s="3" t="s">
        <v>30</v>
      </c>
      <c r="AC21" s="3">
        <v>1</v>
      </c>
      <c r="AD21" s="3" t="s">
        <v>34</v>
      </c>
    </row>
    <row r="22" spans="1:30" x14ac:dyDescent="0.2">
      <c r="A22" s="3" t="s">
        <v>30</v>
      </c>
      <c r="B22" s="3" t="s">
        <v>31</v>
      </c>
      <c r="C22" s="3" t="s">
        <v>671</v>
      </c>
      <c r="D22" s="3" t="s">
        <v>672</v>
      </c>
      <c r="E22" s="3">
        <v>0</v>
      </c>
      <c r="F22" s="3">
        <v>12.113</v>
      </c>
      <c r="G22" s="3">
        <v>13</v>
      </c>
      <c r="H22" s="3">
        <v>7</v>
      </c>
      <c r="I22" s="3">
        <v>7</v>
      </c>
      <c r="J22" s="3">
        <v>27</v>
      </c>
      <c r="K22" s="3">
        <v>1</v>
      </c>
      <c r="L22" s="3">
        <v>456</v>
      </c>
      <c r="M22" s="3">
        <v>49.1</v>
      </c>
      <c r="N22" s="3">
        <v>4.7699999999999996</v>
      </c>
      <c r="O22" s="3">
        <v>14.82</v>
      </c>
      <c r="P22" s="3">
        <v>7</v>
      </c>
      <c r="Q22" s="3" t="s">
        <v>34</v>
      </c>
      <c r="R22" s="3" t="s">
        <v>34</v>
      </c>
      <c r="S22" s="3" t="s">
        <v>34</v>
      </c>
      <c r="T22" s="3" t="s">
        <v>34</v>
      </c>
      <c r="U22" s="3" t="s">
        <v>34</v>
      </c>
      <c r="V22" s="3" t="s">
        <v>671</v>
      </c>
      <c r="W22" s="3" t="s">
        <v>34</v>
      </c>
      <c r="X22" s="3" t="s">
        <v>34</v>
      </c>
      <c r="Y22" s="3" t="s">
        <v>34</v>
      </c>
      <c r="Z22" s="3" t="s">
        <v>34</v>
      </c>
      <c r="AA22" s="3">
        <v>0</v>
      </c>
      <c r="AB22" s="3" t="s">
        <v>30</v>
      </c>
      <c r="AC22" s="3">
        <v>1</v>
      </c>
      <c r="AD22" s="3" t="s">
        <v>34</v>
      </c>
    </row>
    <row r="23" spans="1:30" x14ac:dyDescent="0.2">
      <c r="A23" s="3" t="s">
        <v>30</v>
      </c>
      <c r="B23" s="3" t="s">
        <v>31</v>
      </c>
      <c r="C23" s="3" t="s">
        <v>675</v>
      </c>
      <c r="D23" s="3" t="s">
        <v>676</v>
      </c>
      <c r="E23" s="3">
        <v>0</v>
      </c>
      <c r="F23" s="3">
        <v>12.013999999999999</v>
      </c>
      <c r="G23" s="3">
        <v>12</v>
      </c>
      <c r="H23" s="3">
        <v>7</v>
      </c>
      <c r="I23" s="3">
        <v>7</v>
      </c>
      <c r="J23" s="3">
        <v>8</v>
      </c>
      <c r="K23" s="3">
        <v>4</v>
      </c>
      <c r="L23" s="3">
        <v>521</v>
      </c>
      <c r="M23" s="3">
        <v>56.9</v>
      </c>
      <c r="N23" s="3">
        <v>6.02</v>
      </c>
      <c r="O23" s="3">
        <v>8.9700000000000006</v>
      </c>
      <c r="P23" s="3">
        <v>7</v>
      </c>
      <c r="Q23" s="3" t="s">
        <v>34</v>
      </c>
      <c r="R23" s="3" t="s">
        <v>34</v>
      </c>
      <c r="S23" s="3" t="s">
        <v>34</v>
      </c>
      <c r="T23" s="3" t="s">
        <v>34</v>
      </c>
      <c r="U23" s="3" t="s">
        <v>34</v>
      </c>
      <c r="V23" s="3" t="s">
        <v>675</v>
      </c>
      <c r="W23" s="3" t="s">
        <v>34</v>
      </c>
      <c r="X23" s="3" t="s">
        <v>34</v>
      </c>
      <c r="Y23" s="3" t="s">
        <v>34</v>
      </c>
      <c r="Z23" s="3" t="s">
        <v>34</v>
      </c>
      <c r="AA23" s="3">
        <v>0</v>
      </c>
      <c r="AB23" s="3" t="s">
        <v>30</v>
      </c>
      <c r="AC23" s="3">
        <v>1</v>
      </c>
      <c r="AD23" s="3" t="s">
        <v>34</v>
      </c>
    </row>
    <row r="24" spans="1:30" x14ac:dyDescent="0.2">
      <c r="A24" s="3" t="s">
        <v>30</v>
      </c>
      <c r="B24" s="3" t="s">
        <v>31</v>
      </c>
      <c r="C24" s="3" t="s">
        <v>685</v>
      </c>
      <c r="D24" s="3" t="s">
        <v>686</v>
      </c>
      <c r="E24" s="3">
        <v>0</v>
      </c>
      <c r="F24" s="3">
        <v>10.922000000000001</v>
      </c>
      <c r="G24" s="3">
        <v>7</v>
      </c>
      <c r="H24" s="3">
        <v>5</v>
      </c>
      <c r="I24" s="3">
        <v>5</v>
      </c>
      <c r="J24" s="3">
        <v>10</v>
      </c>
      <c r="K24" s="3">
        <v>1</v>
      </c>
      <c r="L24" s="3">
        <v>511</v>
      </c>
      <c r="M24" s="3">
        <v>55.8</v>
      </c>
      <c r="N24" s="3">
        <v>6.89</v>
      </c>
      <c r="O24" s="3">
        <v>11.16</v>
      </c>
      <c r="P24" s="3">
        <v>5</v>
      </c>
      <c r="Q24" s="3" t="s">
        <v>336</v>
      </c>
      <c r="R24" s="3" t="s">
        <v>337</v>
      </c>
      <c r="S24" s="3" t="s">
        <v>579</v>
      </c>
      <c r="T24" s="3" t="s">
        <v>580</v>
      </c>
      <c r="U24" s="3" t="s">
        <v>687</v>
      </c>
      <c r="V24" s="3" t="s">
        <v>688</v>
      </c>
      <c r="W24" s="3" t="s">
        <v>689</v>
      </c>
      <c r="X24" s="3" t="s">
        <v>690</v>
      </c>
      <c r="Y24" s="3" t="s">
        <v>344</v>
      </c>
      <c r="Z24" s="3" t="s">
        <v>34</v>
      </c>
      <c r="AA24" s="3">
        <v>2</v>
      </c>
      <c r="AB24" s="3" t="s">
        <v>30</v>
      </c>
      <c r="AC24" s="3">
        <v>1</v>
      </c>
      <c r="AD24" s="3" t="s">
        <v>34</v>
      </c>
    </row>
    <row r="25" spans="1:30" x14ac:dyDescent="0.2">
      <c r="A25" s="3" t="s">
        <v>30</v>
      </c>
      <c r="B25" s="3" t="s">
        <v>31</v>
      </c>
      <c r="C25" s="3" t="s">
        <v>693</v>
      </c>
      <c r="D25" s="3" t="s">
        <v>694</v>
      </c>
      <c r="E25" s="3">
        <v>0</v>
      </c>
      <c r="F25" s="3">
        <v>10.093</v>
      </c>
      <c r="G25" s="3">
        <v>10</v>
      </c>
      <c r="H25" s="3">
        <v>5</v>
      </c>
      <c r="I25" s="3">
        <v>6</v>
      </c>
      <c r="J25" s="3">
        <v>23</v>
      </c>
      <c r="K25" s="3">
        <v>3</v>
      </c>
      <c r="L25" s="3">
        <v>459</v>
      </c>
      <c r="M25" s="3">
        <v>49.8</v>
      </c>
      <c r="N25" s="3">
        <v>5.14</v>
      </c>
      <c r="O25" s="3">
        <v>17.739999999999998</v>
      </c>
      <c r="P25" s="3">
        <v>5</v>
      </c>
      <c r="Q25" s="3" t="s">
        <v>34</v>
      </c>
      <c r="R25" s="3" t="s">
        <v>34</v>
      </c>
      <c r="S25" s="3" t="s">
        <v>34</v>
      </c>
      <c r="T25" s="3" t="s">
        <v>34</v>
      </c>
      <c r="U25" s="3" t="s">
        <v>34</v>
      </c>
      <c r="V25" s="3" t="s">
        <v>693</v>
      </c>
      <c r="W25" s="3" t="s">
        <v>34</v>
      </c>
      <c r="X25" s="3" t="s">
        <v>34</v>
      </c>
      <c r="Y25" s="3" t="s">
        <v>34</v>
      </c>
      <c r="Z25" s="3" t="s">
        <v>34</v>
      </c>
      <c r="AA25" s="3">
        <v>0</v>
      </c>
      <c r="AB25" s="3" t="s">
        <v>30</v>
      </c>
      <c r="AC25" s="3">
        <v>1</v>
      </c>
      <c r="AD25" s="3" t="s">
        <v>34</v>
      </c>
    </row>
    <row r="26" spans="1:30" x14ac:dyDescent="0.2">
      <c r="A26" s="3" t="s">
        <v>30</v>
      </c>
      <c r="B26" s="3" t="s">
        <v>31</v>
      </c>
      <c r="C26" s="3" t="s">
        <v>216</v>
      </c>
      <c r="D26" s="3" t="s">
        <v>701</v>
      </c>
      <c r="E26" s="3">
        <v>0</v>
      </c>
      <c r="F26" s="3">
        <v>5.3559999999999999</v>
      </c>
      <c r="G26" s="3">
        <v>10</v>
      </c>
      <c r="H26" s="3">
        <v>3</v>
      </c>
      <c r="I26" s="3">
        <v>3</v>
      </c>
      <c r="J26" s="3">
        <v>3</v>
      </c>
      <c r="K26" s="3">
        <v>3</v>
      </c>
      <c r="L26" s="3">
        <v>222</v>
      </c>
      <c r="M26" s="3">
        <v>26</v>
      </c>
      <c r="N26" s="3">
        <v>8.43</v>
      </c>
      <c r="O26" s="3">
        <v>7.94</v>
      </c>
      <c r="P26" s="3">
        <v>3</v>
      </c>
      <c r="Q26" s="3" t="s">
        <v>702</v>
      </c>
      <c r="R26" s="3" t="s">
        <v>703</v>
      </c>
      <c r="S26" s="3" t="s">
        <v>561</v>
      </c>
      <c r="T26" s="3" t="s">
        <v>704</v>
      </c>
      <c r="U26" s="3" t="s">
        <v>705</v>
      </c>
      <c r="V26" s="3" t="s">
        <v>706</v>
      </c>
      <c r="W26" s="3" t="s">
        <v>707</v>
      </c>
      <c r="X26" s="3" t="s">
        <v>708</v>
      </c>
      <c r="Y26" s="3" t="s">
        <v>34</v>
      </c>
      <c r="Z26" s="3" t="s">
        <v>34</v>
      </c>
      <c r="AA26" s="3">
        <v>0</v>
      </c>
      <c r="AB26" s="3" t="s">
        <v>30</v>
      </c>
      <c r="AC26" s="3">
        <v>1</v>
      </c>
      <c r="AD26" s="3" t="s">
        <v>709</v>
      </c>
    </row>
    <row r="27" spans="1:30" x14ac:dyDescent="0.2">
      <c r="A27" s="3" t="s">
        <v>30</v>
      </c>
      <c r="B27" s="3" t="s">
        <v>31</v>
      </c>
      <c r="C27" s="3" t="s">
        <v>216</v>
      </c>
      <c r="D27" s="3" t="s">
        <v>719</v>
      </c>
      <c r="E27" s="3">
        <v>0</v>
      </c>
      <c r="F27" s="3">
        <v>5.0369999999999999</v>
      </c>
      <c r="G27" s="3">
        <v>14</v>
      </c>
      <c r="H27" s="3">
        <v>2</v>
      </c>
      <c r="I27" s="3">
        <v>2</v>
      </c>
      <c r="J27" s="3">
        <v>3</v>
      </c>
      <c r="K27" s="3">
        <v>2</v>
      </c>
      <c r="L27" s="3">
        <v>148</v>
      </c>
      <c r="M27" s="3">
        <v>16.5</v>
      </c>
      <c r="N27" s="3">
        <v>9.16</v>
      </c>
      <c r="O27" s="3">
        <v>1.96</v>
      </c>
      <c r="P27" s="3">
        <v>2</v>
      </c>
      <c r="Q27" s="3" t="s">
        <v>720</v>
      </c>
      <c r="R27" s="3" t="s">
        <v>721</v>
      </c>
      <c r="S27" s="3" t="s">
        <v>561</v>
      </c>
      <c r="T27" s="3" t="s">
        <v>722</v>
      </c>
      <c r="U27" s="3" t="s">
        <v>723</v>
      </c>
      <c r="V27" s="3" t="s">
        <v>724</v>
      </c>
      <c r="W27" s="3" t="s">
        <v>725</v>
      </c>
      <c r="X27" s="3" t="s">
        <v>726</v>
      </c>
      <c r="Y27" s="3" t="s">
        <v>727</v>
      </c>
      <c r="Z27" s="3" t="s">
        <v>728</v>
      </c>
      <c r="AA27" s="3">
        <v>4</v>
      </c>
      <c r="AB27" s="3" t="s">
        <v>30</v>
      </c>
      <c r="AC27" s="3">
        <v>1</v>
      </c>
      <c r="AD27" s="3" t="s">
        <v>34</v>
      </c>
    </row>
    <row r="28" spans="1:30" x14ac:dyDescent="0.2">
      <c r="A28" s="3" t="s">
        <v>30</v>
      </c>
      <c r="B28" s="3" t="s">
        <v>31</v>
      </c>
      <c r="C28" s="3" t="s">
        <v>216</v>
      </c>
      <c r="D28" s="3" t="s">
        <v>733</v>
      </c>
      <c r="E28" s="3">
        <v>0</v>
      </c>
      <c r="F28" s="3">
        <v>4.7549999999999999</v>
      </c>
      <c r="G28" s="3">
        <v>6</v>
      </c>
      <c r="H28" s="3">
        <v>4</v>
      </c>
      <c r="I28" s="3">
        <v>4</v>
      </c>
      <c r="J28" s="3">
        <v>5</v>
      </c>
      <c r="K28" s="3">
        <v>4</v>
      </c>
      <c r="L28" s="3">
        <v>710</v>
      </c>
      <c r="M28" s="3">
        <v>78.099999999999994</v>
      </c>
      <c r="N28" s="3">
        <v>8.1199999999999992</v>
      </c>
      <c r="O28" s="3">
        <v>1.95</v>
      </c>
      <c r="P28" s="3">
        <v>4</v>
      </c>
      <c r="Q28" s="3" t="s">
        <v>734</v>
      </c>
      <c r="R28" s="3" t="s">
        <v>735</v>
      </c>
      <c r="S28" s="3" t="s">
        <v>736</v>
      </c>
      <c r="T28" s="3" t="s">
        <v>737</v>
      </c>
      <c r="U28" s="3" t="s">
        <v>738</v>
      </c>
      <c r="V28" s="3" t="s">
        <v>739</v>
      </c>
      <c r="W28" s="3" t="s">
        <v>740</v>
      </c>
      <c r="X28" s="3" t="s">
        <v>741</v>
      </c>
      <c r="Y28" s="3" t="s">
        <v>742</v>
      </c>
      <c r="Z28" s="3" t="s">
        <v>743</v>
      </c>
      <c r="AA28" s="3">
        <v>6</v>
      </c>
      <c r="AB28" s="3" t="s">
        <v>30</v>
      </c>
      <c r="AC28" s="3">
        <v>1</v>
      </c>
      <c r="AD28" s="3" t="s">
        <v>34</v>
      </c>
    </row>
    <row r="29" spans="1:30" x14ac:dyDescent="0.2">
      <c r="A29" s="3" t="s">
        <v>30</v>
      </c>
      <c r="B29" s="3" t="s">
        <v>31</v>
      </c>
      <c r="C29" s="3" t="s">
        <v>752</v>
      </c>
      <c r="D29" s="3" t="s">
        <v>753</v>
      </c>
      <c r="E29" s="3">
        <v>0</v>
      </c>
      <c r="F29" s="3">
        <v>3.7240000000000002</v>
      </c>
      <c r="G29" s="3">
        <v>4</v>
      </c>
      <c r="H29" s="3">
        <v>3</v>
      </c>
      <c r="I29" s="3">
        <v>3</v>
      </c>
      <c r="J29" s="3">
        <v>3</v>
      </c>
      <c r="K29" s="3">
        <v>3</v>
      </c>
      <c r="L29" s="3">
        <v>987</v>
      </c>
      <c r="M29" s="3">
        <v>107.9</v>
      </c>
      <c r="N29" s="3">
        <v>6.39</v>
      </c>
      <c r="O29" s="3">
        <v>0</v>
      </c>
      <c r="P29" s="3">
        <v>3</v>
      </c>
      <c r="Q29" s="3" t="s">
        <v>754</v>
      </c>
      <c r="R29" s="3" t="s">
        <v>755</v>
      </c>
      <c r="S29" s="3" t="s">
        <v>756</v>
      </c>
      <c r="T29" s="3" t="s">
        <v>757</v>
      </c>
      <c r="U29" s="3" t="s">
        <v>758</v>
      </c>
      <c r="V29" s="3" t="s">
        <v>759</v>
      </c>
      <c r="W29" s="3" t="s">
        <v>34</v>
      </c>
      <c r="X29" s="3" t="s">
        <v>760</v>
      </c>
      <c r="Y29" s="3" t="s">
        <v>761</v>
      </c>
      <c r="Z29" s="3" t="s">
        <v>34</v>
      </c>
      <c r="AA29" s="3">
        <v>2</v>
      </c>
      <c r="AB29" s="3" t="s">
        <v>30</v>
      </c>
      <c r="AC29" s="3">
        <v>1</v>
      </c>
      <c r="AD29" s="3" t="s">
        <v>34</v>
      </c>
    </row>
    <row r="30" spans="1:30" x14ac:dyDescent="0.2">
      <c r="A30" s="3" t="s">
        <v>30</v>
      </c>
      <c r="B30" s="3" t="s">
        <v>31</v>
      </c>
      <c r="C30" s="3" t="s">
        <v>769</v>
      </c>
      <c r="D30" s="3" t="s">
        <v>770</v>
      </c>
      <c r="E30" s="3">
        <v>0</v>
      </c>
      <c r="F30" s="3">
        <v>3.266</v>
      </c>
      <c r="G30" s="3">
        <v>7</v>
      </c>
      <c r="H30" s="3">
        <v>2</v>
      </c>
      <c r="I30" s="3">
        <v>2</v>
      </c>
      <c r="J30" s="3">
        <v>3</v>
      </c>
      <c r="K30" s="3">
        <v>2</v>
      </c>
      <c r="L30" s="3">
        <v>375</v>
      </c>
      <c r="M30" s="3">
        <v>41.7</v>
      </c>
      <c r="N30" s="3">
        <v>5.68</v>
      </c>
      <c r="O30" s="3">
        <v>0</v>
      </c>
      <c r="P30" s="3">
        <v>2</v>
      </c>
      <c r="Q30" s="3" t="s">
        <v>771</v>
      </c>
      <c r="R30" s="3" t="s">
        <v>772</v>
      </c>
      <c r="S30" s="3" t="s">
        <v>338</v>
      </c>
      <c r="T30" s="3" t="s">
        <v>773</v>
      </c>
      <c r="U30" s="3" t="s">
        <v>774</v>
      </c>
      <c r="V30" s="3" t="s">
        <v>775</v>
      </c>
      <c r="W30" s="3" t="s">
        <v>34</v>
      </c>
      <c r="X30" s="3" t="s">
        <v>776</v>
      </c>
      <c r="Y30" s="3" t="s">
        <v>777</v>
      </c>
      <c r="Z30" s="3" t="s">
        <v>34</v>
      </c>
      <c r="AA30" s="3">
        <v>6</v>
      </c>
      <c r="AB30" s="3" t="s">
        <v>30</v>
      </c>
      <c r="AC30" s="3">
        <v>1</v>
      </c>
      <c r="AD30" s="3" t="s">
        <v>34</v>
      </c>
    </row>
    <row r="31" spans="1:30" x14ac:dyDescent="0.2">
      <c r="A31" s="3" t="s">
        <v>30</v>
      </c>
      <c r="B31" s="3" t="s">
        <v>31</v>
      </c>
      <c r="C31" s="3" t="s">
        <v>782</v>
      </c>
      <c r="D31" s="3" t="s">
        <v>783</v>
      </c>
      <c r="E31" s="3">
        <v>0</v>
      </c>
      <c r="F31" s="3">
        <v>3.2370000000000001</v>
      </c>
      <c r="G31" s="3">
        <v>5</v>
      </c>
      <c r="H31" s="3">
        <v>2</v>
      </c>
      <c r="I31" s="3">
        <v>2</v>
      </c>
      <c r="J31" s="3">
        <v>2</v>
      </c>
      <c r="K31" s="3">
        <v>2</v>
      </c>
      <c r="L31" s="3">
        <v>449</v>
      </c>
      <c r="M31" s="3">
        <v>49.1</v>
      </c>
      <c r="N31" s="3">
        <v>6.24</v>
      </c>
      <c r="O31" s="3">
        <v>3.51</v>
      </c>
      <c r="P31" s="3">
        <v>2</v>
      </c>
      <c r="Q31" s="3" t="s">
        <v>784</v>
      </c>
      <c r="R31" s="3" t="s">
        <v>785</v>
      </c>
      <c r="S31" s="3" t="s">
        <v>561</v>
      </c>
      <c r="T31" s="3" t="s">
        <v>786</v>
      </c>
      <c r="U31" s="3" t="s">
        <v>787</v>
      </c>
      <c r="V31" s="3" t="s">
        <v>788</v>
      </c>
      <c r="W31" s="3" t="s">
        <v>34</v>
      </c>
      <c r="X31" s="3" t="s">
        <v>789</v>
      </c>
      <c r="Y31" s="3" t="s">
        <v>790</v>
      </c>
      <c r="Z31" s="3" t="s">
        <v>34</v>
      </c>
      <c r="AA31" s="3">
        <v>2</v>
      </c>
      <c r="AB31" s="3" t="s">
        <v>30</v>
      </c>
      <c r="AC31" s="3">
        <v>1</v>
      </c>
      <c r="AD31" s="3" t="s">
        <v>34</v>
      </c>
    </row>
    <row r="32" spans="1:30" x14ac:dyDescent="0.2">
      <c r="A32" s="3" t="s">
        <v>30</v>
      </c>
      <c r="B32" s="3" t="s">
        <v>31</v>
      </c>
      <c r="C32" s="3" t="s">
        <v>216</v>
      </c>
      <c r="D32" s="3" t="s">
        <v>795</v>
      </c>
      <c r="E32" s="3">
        <v>0</v>
      </c>
      <c r="F32" s="3">
        <v>3.2040000000000002</v>
      </c>
      <c r="G32" s="3">
        <v>3</v>
      </c>
      <c r="H32" s="3">
        <v>2</v>
      </c>
      <c r="I32" s="3">
        <v>2</v>
      </c>
      <c r="J32" s="3">
        <v>14</v>
      </c>
      <c r="K32" s="3">
        <v>1</v>
      </c>
      <c r="L32" s="3">
        <v>467</v>
      </c>
      <c r="M32" s="3">
        <v>52.2</v>
      </c>
      <c r="N32" s="3">
        <v>4.9400000000000004</v>
      </c>
      <c r="O32" s="3">
        <v>1.71</v>
      </c>
      <c r="P32" s="3">
        <v>2</v>
      </c>
      <c r="Q32" s="3" t="s">
        <v>336</v>
      </c>
      <c r="R32" s="3" t="s">
        <v>337</v>
      </c>
      <c r="S32" s="3" t="s">
        <v>579</v>
      </c>
      <c r="T32" s="3" t="s">
        <v>339</v>
      </c>
      <c r="U32" s="3" t="s">
        <v>796</v>
      </c>
      <c r="V32" s="3" t="s">
        <v>797</v>
      </c>
      <c r="W32" s="3" t="s">
        <v>798</v>
      </c>
      <c r="X32" s="3" t="s">
        <v>799</v>
      </c>
      <c r="Y32" s="3" t="s">
        <v>344</v>
      </c>
      <c r="Z32" s="3" t="s">
        <v>34</v>
      </c>
      <c r="AA32" s="3">
        <v>2</v>
      </c>
      <c r="AB32" s="3" t="s">
        <v>30</v>
      </c>
      <c r="AC32" s="3">
        <v>1</v>
      </c>
      <c r="AD32" s="3" t="s">
        <v>34</v>
      </c>
    </row>
    <row r="33" spans="1:30" x14ac:dyDescent="0.2">
      <c r="A33" s="3" t="s">
        <v>30</v>
      </c>
      <c r="B33" s="3" t="s">
        <v>31</v>
      </c>
      <c r="C33" s="3" t="s">
        <v>216</v>
      </c>
      <c r="D33" s="3" t="s">
        <v>802</v>
      </c>
      <c r="E33" s="3">
        <v>0</v>
      </c>
      <c r="F33" s="3">
        <v>3.1320000000000001</v>
      </c>
      <c r="G33" s="3">
        <v>5</v>
      </c>
      <c r="H33" s="3">
        <v>2</v>
      </c>
      <c r="I33" s="3">
        <v>2</v>
      </c>
      <c r="J33" s="3">
        <v>2</v>
      </c>
      <c r="K33" s="3">
        <v>2</v>
      </c>
      <c r="L33" s="3">
        <v>214</v>
      </c>
      <c r="M33" s="3">
        <v>24.5</v>
      </c>
      <c r="N33" s="3">
        <v>5.0199999999999996</v>
      </c>
      <c r="O33" s="3">
        <v>2.6</v>
      </c>
      <c r="P33" s="3">
        <v>2</v>
      </c>
      <c r="Q33" s="3" t="s">
        <v>803</v>
      </c>
      <c r="R33" s="3" t="s">
        <v>703</v>
      </c>
      <c r="S33" s="3" t="s">
        <v>561</v>
      </c>
      <c r="T33" s="3" t="s">
        <v>704</v>
      </c>
      <c r="U33" s="3" t="s">
        <v>804</v>
      </c>
      <c r="V33" s="3" t="s">
        <v>805</v>
      </c>
      <c r="W33" s="3" t="s">
        <v>806</v>
      </c>
      <c r="X33" s="3" t="s">
        <v>807</v>
      </c>
      <c r="Y33" s="3" t="s">
        <v>808</v>
      </c>
      <c r="Z33" s="3" t="s">
        <v>34</v>
      </c>
      <c r="AA33" s="3">
        <v>1</v>
      </c>
      <c r="AB33" s="3" t="s">
        <v>30</v>
      </c>
      <c r="AC33" s="3">
        <v>1</v>
      </c>
      <c r="AD33" s="3" t="s">
        <v>34</v>
      </c>
    </row>
    <row r="34" spans="1:30" x14ac:dyDescent="0.2">
      <c r="A34" s="3" t="s">
        <v>30</v>
      </c>
      <c r="B34" s="3" t="s">
        <v>31</v>
      </c>
      <c r="C34" s="3" t="s">
        <v>216</v>
      </c>
      <c r="D34" s="3" t="s">
        <v>813</v>
      </c>
      <c r="E34" s="3">
        <v>0</v>
      </c>
      <c r="F34" s="3">
        <v>3.129</v>
      </c>
      <c r="G34" s="3">
        <v>5</v>
      </c>
      <c r="H34" s="3">
        <v>3</v>
      </c>
      <c r="I34" s="3">
        <v>3</v>
      </c>
      <c r="J34" s="3">
        <v>3</v>
      </c>
      <c r="K34" s="3">
        <v>1</v>
      </c>
      <c r="L34" s="3">
        <v>502</v>
      </c>
      <c r="M34" s="3">
        <v>55.2</v>
      </c>
      <c r="N34" s="3">
        <v>6.46</v>
      </c>
      <c r="O34" s="3">
        <v>0</v>
      </c>
      <c r="P34" s="3">
        <v>3</v>
      </c>
      <c r="Q34" s="3" t="s">
        <v>34</v>
      </c>
      <c r="R34" s="3" t="s">
        <v>814</v>
      </c>
      <c r="S34" s="3" t="s">
        <v>34</v>
      </c>
      <c r="T34" s="3" t="s">
        <v>580</v>
      </c>
      <c r="U34" s="3" t="s">
        <v>34</v>
      </c>
      <c r="V34" s="3" t="s">
        <v>216</v>
      </c>
      <c r="W34" s="3" t="s">
        <v>34</v>
      </c>
      <c r="X34" s="3" t="s">
        <v>34</v>
      </c>
      <c r="Y34" s="3" t="s">
        <v>34</v>
      </c>
      <c r="Z34" s="3" t="s">
        <v>34</v>
      </c>
      <c r="AA34" s="3">
        <v>0</v>
      </c>
      <c r="AB34" s="3" t="s">
        <v>30</v>
      </c>
      <c r="AC34" s="3">
        <v>1</v>
      </c>
      <c r="AD34" s="3" t="s">
        <v>34</v>
      </c>
    </row>
    <row r="35" spans="1:30" x14ac:dyDescent="0.2">
      <c r="A35" s="3" t="s">
        <v>30</v>
      </c>
      <c r="B35" s="3" t="s">
        <v>31</v>
      </c>
      <c r="C35" s="3" t="s">
        <v>216</v>
      </c>
      <c r="D35" s="3" t="s">
        <v>820</v>
      </c>
      <c r="E35" s="3">
        <v>0</v>
      </c>
      <c r="F35" s="3">
        <v>2.2400000000000002</v>
      </c>
      <c r="G35" s="3">
        <v>6</v>
      </c>
      <c r="H35" s="3">
        <v>1</v>
      </c>
      <c r="I35" s="3">
        <v>1</v>
      </c>
      <c r="J35" s="3">
        <v>1</v>
      </c>
      <c r="K35" s="3">
        <v>1</v>
      </c>
      <c r="L35" s="3">
        <v>190</v>
      </c>
      <c r="M35" s="3">
        <v>21.3</v>
      </c>
      <c r="N35" s="3">
        <v>6.77</v>
      </c>
      <c r="O35" s="3">
        <v>2.11</v>
      </c>
      <c r="P35" s="3">
        <v>1</v>
      </c>
      <c r="Q35" s="3" t="s">
        <v>821</v>
      </c>
      <c r="R35" s="3" t="s">
        <v>703</v>
      </c>
      <c r="S35" s="3" t="s">
        <v>561</v>
      </c>
      <c r="T35" s="3" t="s">
        <v>822</v>
      </c>
      <c r="U35" s="3" t="s">
        <v>823</v>
      </c>
      <c r="V35" s="3" t="s">
        <v>824</v>
      </c>
      <c r="W35" s="3" t="s">
        <v>34</v>
      </c>
      <c r="X35" s="3" t="s">
        <v>825</v>
      </c>
      <c r="Y35" s="3" t="s">
        <v>34</v>
      </c>
      <c r="Z35" s="3" t="s">
        <v>34</v>
      </c>
      <c r="AA35" s="3">
        <v>0</v>
      </c>
      <c r="AB35" s="3" t="s">
        <v>30</v>
      </c>
      <c r="AC35" s="3">
        <v>1</v>
      </c>
      <c r="AD35" s="3" t="s">
        <v>34</v>
      </c>
    </row>
    <row r="36" spans="1:30" x14ac:dyDescent="0.2">
      <c r="A36" s="3" t="s">
        <v>30</v>
      </c>
      <c r="B36" s="3" t="s">
        <v>31</v>
      </c>
      <c r="C36" s="3" t="s">
        <v>216</v>
      </c>
      <c r="D36" s="3" t="s">
        <v>829</v>
      </c>
      <c r="E36" s="3">
        <v>0</v>
      </c>
      <c r="F36" s="3">
        <v>1.9830000000000001</v>
      </c>
      <c r="G36" s="3">
        <v>4</v>
      </c>
      <c r="H36" s="3">
        <v>1</v>
      </c>
      <c r="I36" s="3">
        <v>1</v>
      </c>
      <c r="J36" s="3">
        <v>1</v>
      </c>
      <c r="K36" s="3">
        <v>1</v>
      </c>
      <c r="L36" s="3">
        <v>412</v>
      </c>
      <c r="M36" s="3">
        <v>44.5</v>
      </c>
      <c r="N36" s="3">
        <v>6.54</v>
      </c>
      <c r="O36" s="3">
        <v>2.29</v>
      </c>
      <c r="P36" s="3">
        <v>1</v>
      </c>
      <c r="Q36" s="3" t="s">
        <v>830</v>
      </c>
      <c r="R36" s="3" t="s">
        <v>831</v>
      </c>
      <c r="S36" s="3" t="s">
        <v>561</v>
      </c>
      <c r="T36" s="3" t="s">
        <v>832</v>
      </c>
      <c r="U36" s="3" t="s">
        <v>833</v>
      </c>
      <c r="V36" s="3" t="s">
        <v>834</v>
      </c>
      <c r="W36" s="3" t="s">
        <v>835</v>
      </c>
      <c r="X36" s="3" t="s">
        <v>836</v>
      </c>
      <c r="Y36" s="3" t="s">
        <v>837</v>
      </c>
      <c r="Z36" s="3" t="s">
        <v>838</v>
      </c>
      <c r="AA36" s="3">
        <v>6</v>
      </c>
      <c r="AB36" s="3" t="s">
        <v>30</v>
      </c>
      <c r="AC36" s="3">
        <v>1</v>
      </c>
      <c r="AD36" s="3" t="s">
        <v>34</v>
      </c>
    </row>
    <row r="37" spans="1:30" x14ac:dyDescent="0.2">
      <c r="A37" s="3" t="s">
        <v>30</v>
      </c>
      <c r="B37" s="3" t="s">
        <v>31</v>
      </c>
      <c r="C37" s="3" t="s">
        <v>216</v>
      </c>
      <c r="D37" s="3" t="s">
        <v>841</v>
      </c>
      <c r="E37" s="3">
        <v>0</v>
      </c>
      <c r="F37" s="3">
        <v>1.9159999999999999</v>
      </c>
      <c r="G37" s="3">
        <v>10</v>
      </c>
      <c r="H37" s="3">
        <v>1</v>
      </c>
      <c r="I37" s="3">
        <v>1</v>
      </c>
      <c r="J37" s="3">
        <v>1</v>
      </c>
      <c r="K37" s="3">
        <v>1</v>
      </c>
      <c r="L37" s="3">
        <v>156</v>
      </c>
      <c r="M37" s="3">
        <v>18</v>
      </c>
      <c r="N37" s="3">
        <v>9.64</v>
      </c>
      <c r="O37" s="3">
        <v>0</v>
      </c>
      <c r="P37" s="3">
        <v>1</v>
      </c>
      <c r="Q37" s="3" t="s">
        <v>842</v>
      </c>
      <c r="R37" s="3" t="s">
        <v>843</v>
      </c>
      <c r="S37" s="3" t="s">
        <v>561</v>
      </c>
      <c r="T37" s="3" t="s">
        <v>844</v>
      </c>
      <c r="U37" s="3" t="s">
        <v>845</v>
      </c>
      <c r="V37" s="3" t="s">
        <v>846</v>
      </c>
      <c r="W37" s="3" t="s">
        <v>847</v>
      </c>
      <c r="X37" s="3" t="s">
        <v>848</v>
      </c>
      <c r="Y37" s="3" t="s">
        <v>849</v>
      </c>
      <c r="Z37" s="3" t="s">
        <v>850</v>
      </c>
      <c r="AA37" s="3">
        <v>449</v>
      </c>
      <c r="AB37" s="3" t="s">
        <v>30</v>
      </c>
      <c r="AC37" s="3">
        <v>1</v>
      </c>
      <c r="AD37" s="3" t="s">
        <v>34</v>
      </c>
    </row>
    <row r="38" spans="1:30" x14ac:dyDescent="0.2">
      <c r="A38" s="3" t="s">
        <v>30</v>
      </c>
      <c r="B38" s="3" t="s">
        <v>31</v>
      </c>
      <c r="C38" s="3" t="s">
        <v>216</v>
      </c>
      <c r="D38" s="3" t="s">
        <v>853</v>
      </c>
      <c r="E38" s="3">
        <v>0</v>
      </c>
      <c r="F38" s="3">
        <v>1.909</v>
      </c>
      <c r="G38" s="3">
        <v>4</v>
      </c>
      <c r="H38" s="3">
        <v>2</v>
      </c>
      <c r="I38" s="3">
        <v>2</v>
      </c>
      <c r="J38" s="3">
        <v>2</v>
      </c>
      <c r="K38" s="3">
        <v>1</v>
      </c>
      <c r="L38" s="3">
        <v>513</v>
      </c>
      <c r="M38" s="3">
        <v>56.6</v>
      </c>
      <c r="N38" s="3">
        <v>6.74</v>
      </c>
      <c r="O38" s="3">
        <v>0</v>
      </c>
      <c r="P38" s="3">
        <v>2</v>
      </c>
      <c r="Q38" s="3" t="s">
        <v>34</v>
      </c>
      <c r="R38" s="3" t="s">
        <v>34</v>
      </c>
      <c r="S38" s="3" t="s">
        <v>34</v>
      </c>
      <c r="T38" s="3" t="s">
        <v>34</v>
      </c>
      <c r="U38" s="3" t="s">
        <v>34</v>
      </c>
      <c r="V38" s="3" t="s">
        <v>216</v>
      </c>
      <c r="W38" s="3" t="s">
        <v>34</v>
      </c>
      <c r="X38" s="3" t="s">
        <v>34</v>
      </c>
      <c r="Y38" s="3" t="s">
        <v>34</v>
      </c>
      <c r="Z38" s="3" t="s">
        <v>34</v>
      </c>
      <c r="AA38" s="3">
        <v>0</v>
      </c>
      <c r="AB38" s="3" t="s">
        <v>30</v>
      </c>
      <c r="AC38" s="3">
        <v>1</v>
      </c>
      <c r="AD38" s="3" t="s">
        <v>34</v>
      </c>
    </row>
    <row r="39" spans="1:30" x14ac:dyDescent="0.2">
      <c r="A39" s="3" t="s">
        <v>30</v>
      </c>
      <c r="B39" s="3" t="s">
        <v>31</v>
      </c>
      <c r="C39" s="3" t="s">
        <v>216</v>
      </c>
      <c r="D39" s="3" t="s">
        <v>856</v>
      </c>
      <c r="E39" s="3">
        <v>0</v>
      </c>
      <c r="F39" s="3">
        <v>1.5740000000000001</v>
      </c>
      <c r="G39" s="3">
        <v>9</v>
      </c>
      <c r="H39" s="3">
        <v>1</v>
      </c>
      <c r="I39" s="3">
        <v>1</v>
      </c>
      <c r="J39" s="3">
        <v>1</v>
      </c>
      <c r="K39" s="3">
        <v>1</v>
      </c>
      <c r="L39" s="3">
        <v>146</v>
      </c>
      <c r="M39" s="3">
        <v>15.9</v>
      </c>
      <c r="N39" s="3">
        <v>7.28</v>
      </c>
      <c r="O39" s="3">
        <v>2.65</v>
      </c>
      <c r="P39" s="3">
        <v>1</v>
      </c>
      <c r="Q39" s="3" t="s">
        <v>34</v>
      </c>
      <c r="R39" s="3" t="s">
        <v>34</v>
      </c>
      <c r="S39" s="3" t="s">
        <v>34</v>
      </c>
      <c r="T39" s="3" t="s">
        <v>34</v>
      </c>
      <c r="U39" s="3" t="s">
        <v>34</v>
      </c>
      <c r="V39" s="3" t="s">
        <v>216</v>
      </c>
      <c r="W39" s="3" t="s">
        <v>34</v>
      </c>
      <c r="X39" s="3" t="s">
        <v>34</v>
      </c>
      <c r="Y39" s="3" t="s">
        <v>34</v>
      </c>
      <c r="Z39" s="3" t="s">
        <v>34</v>
      </c>
      <c r="AA39" s="3">
        <v>0</v>
      </c>
      <c r="AB39" s="3" t="s">
        <v>30</v>
      </c>
      <c r="AC39" s="3">
        <v>1</v>
      </c>
      <c r="AD39" s="3" t="s">
        <v>34</v>
      </c>
    </row>
    <row r="40" spans="1:30" x14ac:dyDescent="0.2">
      <c r="A40" s="3" t="s">
        <v>30</v>
      </c>
      <c r="B40" s="3" t="s">
        <v>31</v>
      </c>
      <c r="C40" s="3" t="s">
        <v>859</v>
      </c>
      <c r="D40" s="3" t="s">
        <v>860</v>
      </c>
      <c r="E40" s="3">
        <v>0</v>
      </c>
      <c r="F40" s="3">
        <v>1.4379999999999999</v>
      </c>
      <c r="G40" s="3">
        <v>1</v>
      </c>
      <c r="H40" s="3">
        <v>1</v>
      </c>
      <c r="I40" s="3">
        <v>1</v>
      </c>
      <c r="J40" s="3">
        <v>2</v>
      </c>
      <c r="K40" s="3">
        <v>1</v>
      </c>
      <c r="L40" s="3">
        <v>690</v>
      </c>
      <c r="M40" s="3">
        <v>77.5</v>
      </c>
      <c r="N40" s="3">
        <v>9.61</v>
      </c>
      <c r="O40" s="3">
        <v>0</v>
      </c>
      <c r="P40" s="3">
        <v>1</v>
      </c>
      <c r="Q40" s="3" t="s">
        <v>861</v>
      </c>
      <c r="R40" s="3" t="s">
        <v>862</v>
      </c>
      <c r="S40" s="3" t="s">
        <v>863</v>
      </c>
      <c r="T40" s="3" t="s">
        <v>864</v>
      </c>
      <c r="U40" s="3" t="s">
        <v>865</v>
      </c>
      <c r="V40" s="3" t="s">
        <v>866</v>
      </c>
      <c r="W40" s="3" t="s">
        <v>34</v>
      </c>
      <c r="X40" s="3" t="s">
        <v>867</v>
      </c>
      <c r="Y40" s="3" t="s">
        <v>868</v>
      </c>
      <c r="Z40" s="3" t="s">
        <v>34</v>
      </c>
      <c r="AA40" s="3">
        <v>1</v>
      </c>
      <c r="AB40" s="3" t="s">
        <v>30</v>
      </c>
      <c r="AC40" s="3">
        <v>1</v>
      </c>
      <c r="AD40" s="3" t="s">
        <v>34</v>
      </c>
    </row>
    <row r="41" spans="1:30" x14ac:dyDescent="0.2">
      <c r="A41" s="3" t="s">
        <v>30</v>
      </c>
      <c r="B41" s="3" t="s">
        <v>31</v>
      </c>
      <c r="C41" s="3" t="s">
        <v>871</v>
      </c>
      <c r="D41" s="3" t="s">
        <v>872</v>
      </c>
      <c r="E41" s="3">
        <v>0</v>
      </c>
      <c r="F41" s="3">
        <v>1.3009999999999999</v>
      </c>
      <c r="G41" s="3">
        <v>2</v>
      </c>
      <c r="H41" s="3">
        <v>1</v>
      </c>
      <c r="I41" s="3">
        <v>1</v>
      </c>
      <c r="J41" s="3">
        <v>1</v>
      </c>
      <c r="K41" s="3">
        <v>1</v>
      </c>
      <c r="L41" s="3">
        <v>363</v>
      </c>
      <c r="M41" s="3">
        <v>42.2</v>
      </c>
      <c r="N41" s="3">
        <v>7.9</v>
      </c>
      <c r="O41" s="3">
        <v>1.96</v>
      </c>
      <c r="P41" s="3">
        <v>1</v>
      </c>
      <c r="Q41" s="3" t="s">
        <v>517</v>
      </c>
      <c r="R41" s="3" t="s">
        <v>518</v>
      </c>
      <c r="S41" s="3" t="s">
        <v>873</v>
      </c>
      <c r="T41" s="3" t="s">
        <v>874</v>
      </c>
      <c r="U41" s="3" t="s">
        <v>875</v>
      </c>
      <c r="V41" s="3" t="s">
        <v>876</v>
      </c>
      <c r="W41" s="3" t="s">
        <v>34</v>
      </c>
      <c r="X41" s="3" t="s">
        <v>877</v>
      </c>
      <c r="Y41" s="3" t="s">
        <v>34</v>
      </c>
      <c r="Z41" s="3" t="s">
        <v>34</v>
      </c>
      <c r="AA41" s="3">
        <v>0</v>
      </c>
      <c r="AB41" s="3" t="s">
        <v>30</v>
      </c>
      <c r="AC41" s="3">
        <v>1</v>
      </c>
      <c r="AD41" s="3" t="s">
        <v>34</v>
      </c>
    </row>
    <row r="42" spans="1:30" x14ac:dyDescent="0.2">
      <c r="A42" s="3" t="s">
        <v>30</v>
      </c>
      <c r="B42" s="3" t="s">
        <v>31</v>
      </c>
      <c r="C42" s="3" t="s">
        <v>880</v>
      </c>
      <c r="D42" s="3" t="s">
        <v>881</v>
      </c>
      <c r="E42" s="3">
        <v>0</v>
      </c>
      <c r="F42" s="3">
        <v>1.278</v>
      </c>
      <c r="G42" s="3">
        <v>1</v>
      </c>
      <c r="H42" s="3">
        <v>1</v>
      </c>
      <c r="I42" s="3">
        <v>1</v>
      </c>
      <c r="J42" s="3">
        <v>1</v>
      </c>
      <c r="K42" s="3">
        <v>1</v>
      </c>
      <c r="L42" s="3">
        <v>912</v>
      </c>
      <c r="M42" s="3">
        <v>101.9</v>
      </c>
      <c r="N42" s="3">
        <v>7.84</v>
      </c>
      <c r="O42" s="3">
        <v>0</v>
      </c>
      <c r="P42" s="3">
        <v>1</v>
      </c>
      <c r="Q42" s="3" t="s">
        <v>830</v>
      </c>
      <c r="R42" s="3" t="s">
        <v>882</v>
      </c>
      <c r="S42" s="3" t="s">
        <v>883</v>
      </c>
      <c r="T42" s="3" t="s">
        <v>884</v>
      </c>
      <c r="U42" s="3" t="s">
        <v>885</v>
      </c>
      <c r="V42" s="3" t="s">
        <v>886</v>
      </c>
      <c r="W42" s="3" t="s">
        <v>34</v>
      </c>
      <c r="X42" s="3" t="s">
        <v>887</v>
      </c>
      <c r="Y42" s="3" t="s">
        <v>34</v>
      </c>
      <c r="Z42" s="3" t="s">
        <v>34</v>
      </c>
      <c r="AA42" s="3">
        <v>0</v>
      </c>
      <c r="AB42" s="3" t="s">
        <v>30</v>
      </c>
      <c r="AC42" s="3">
        <v>1</v>
      </c>
      <c r="AD42" s="3" t="s">
        <v>34</v>
      </c>
    </row>
    <row r="43" spans="1:30" x14ac:dyDescent="0.2">
      <c r="A43" s="3" t="s">
        <v>30</v>
      </c>
      <c r="B43" s="3" t="s">
        <v>31</v>
      </c>
      <c r="C43" s="3" t="s">
        <v>890</v>
      </c>
      <c r="D43" s="3" t="s">
        <v>891</v>
      </c>
      <c r="E43" s="3">
        <v>0</v>
      </c>
      <c r="F43" s="3">
        <v>1.272</v>
      </c>
      <c r="G43" s="3">
        <v>2</v>
      </c>
      <c r="H43" s="3">
        <v>1</v>
      </c>
      <c r="I43" s="3">
        <v>1</v>
      </c>
      <c r="J43" s="3">
        <v>1</v>
      </c>
      <c r="K43" s="3">
        <v>1</v>
      </c>
      <c r="L43" s="3">
        <v>520</v>
      </c>
      <c r="M43" s="3">
        <v>56.6</v>
      </c>
      <c r="N43" s="3">
        <v>8.31</v>
      </c>
      <c r="O43" s="3">
        <v>0</v>
      </c>
      <c r="P43" s="3">
        <v>1</v>
      </c>
      <c r="Q43" s="3" t="s">
        <v>34</v>
      </c>
      <c r="R43" s="3" t="s">
        <v>34</v>
      </c>
      <c r="S43" s="3" t="s">
        <v>34</v>
      </c>
      <c r="T43" s="3" t="s">
        <v>34</v>
      </c>
      <c r="U43" s="3" t="s">
        <v>34</v>
      </c>
      <c r="V43" s="3" t="s">
        <v>890</v>
      </c>
      <c r="W43" s="3" t="s">
        <v>34</v>
      </c>
      <c r="X43" s="3" t="s">
        <v>34</v>
      </c>
      <c r="Y43" s="3" t="s">
        <v>34</v>
      </c>
      <c r="Z43" s="3" t="s">
        <v>34</v>
      </c>
      <c r="AA43" s="3">
        <v>0</v>
      </c>
      <c r="AB43" s="3" t="s">
        <v>30</v>
      </c>
      <c r="AC43" s="3">
        <v>1</v>
      </c>
      <c r="AD43" s="3" t="s">
        <v>34</v>
      </c>
    </row>
    <row r="44" spans="1:30" x14ac:dyDescent="0.2">
      <c r="A44" s="3" t="s">
        <v>30</v>
      </c>
      <c r="B44" s="3" t="s">
        <v>31</v>
      </c>
      <c r="C44" s="3" t="s">
        <v>894</v>
      </c>
      <c r="D44" s="3" t="s">
        <v>895</v>
      </c>
      <c r="E44" s="3">
        <v>0</v>
      </c>
      <c r="F44" s="3">
        <v>1.2709999999999999</v>
      </c>
      <c r="G44" s="3">
        <v>3</v>
      </c>
      <c r="H44" s="3">
        <v>1</v>
      </c>
      <c r="I44" s="3">
        <v>1</v>
      </c>
      <c r="J44" s="3">
        <v>1</v>
      </c>
      <c r="K44" s="3">
        <v>1</v>
      </c>
      <c r="L44" s="3">
        <v>309</v>
      </c>
      <c r="M44" s="3">
        <v>35</v>
      </c>
      <c r="N44" s="3">
        <v>5.44</v>
      </c>
      <c r="O44" s="3">
        <v>0</v>
      </c>
      <c r="P44" s="3">
        <v>1</v>
      </c>
      <c r="Q44" s="3" t="s">
        <v>784</v>
      </c>
      <c r="R44" s="3" t="s">
        <v>34</v>
      </c>
      <c r="S44" s="3" t="s">
        <v>561</v>
      </c>
      <c r="T44" s="3" t="s">
        <v>896</v>
      </c>
      <c r="U44" s="3" t="s">
        <v>897</v>
      </c>
      <c r="V44" s="3" t="s">
        <v>898</v>
      </c>
      <c r="W44" s="3" t="s">
        <v>34</v>
      </c>
      <c r="X44" s="3" t="s">
        <v>899</v>
      </c>
      <c r="Y44" s="3" t="s">
        <v>34</v>
      </c>
      <c r="Z44" s="3" t="s">
        <v>34</v>
      </c>
      <c r="AA44" s="3">
        <v>0</v>
      </c>
      <c r="AB44" s="3" t="s">
        <v>30</v>
      </c>
      <c r="AC44" s="3">
        <v>1</v>
      </c>
      <c r="AD44" s="3" t="s">
        <v>900</v>
      </c>
    </row>
    <row r="45" spans="1:30" x14ac:dyDescent="0.2">
      <c r="A45" s="3" t="s">
        <v>30</v>
      </c>
      <c r="B45" s="3" t="s">
        <v>31</v>
      </c>
      <c r="C45" s="3" t="s">
        <v>216</v>
      </c>
      <c r="D45" s="3" t="s">
        <v>905</v>
      </c>
      <c r="E45" s="3">
        <v>0</v>
      </c>
      <c r="F45" s="3">
        <v>1.2330000000000001</v>
      </c>
      <c r="G45" s="3">
        <v>3</v>
      </c>
      <c r="H45" s="3">
        <v>1</v>
      </c>
      <c r="I45" s="3">
        <v>1</v>
      </c>
      <c r="J45" s="3">
        <v>1</v>
      </c>
      <c r="K45" s="3">
        <v>1</v>
      </c>
      <c r="L45" s="3">
        <v>526</v>
      </c>
      <c r="M45" s="3">
        <v>59.6</v>
      </c>
      <c r="N45" s="3">
        <v>7.39</v>
      </c>
      <c r="O45" s="3">
        <v>1.8</v>
      </c>
      <c r="P45" s="3">
        <v>1</v>
      </c>
      <c r="Q45" s="3" t="s">
        <v>34</v>
      </c>
      <c r="R45" s="3" t="s">
        <v>34</v>
      </c>
      <c r="S45" s="3" t="s">
        <v>34</v>
      </c>
      <c r="T45" s="3" t="s">
        <v>34</v>
      </c>
      <c r="U45" s="3" t="s">
        <v>34</v>
      </c>
      <c r="V45" s="3" t="s">
        <v>216</v>
      </c>
      <c r="W45" s="3" t="s">
        <v>34</v>
      </c>
      <c r="X45" s="3" t="s">
        <v>34</v>
      </c>
      <c r="Y45" s="3" t="s">
        <v>34</v>
      </c>
      <c r="Z45" s="3" t="s">
        <v>34</v>
      </c>
      <c r="AA45" s="3">
        <v>0</v>
      </c>
      <c r="AB45" s="3" t="s">
        <v>30</v>
      </c>
      <c r="AC45" s="3">
        <v>1</v>
      </c>
      <c r="AD45" s="3" t="s">
        <v>34</v>
      </c>
    </row>
    <row r="46" spans="1:30" x14ac:dyDescent="0.2">
      <c r="A46" s="3" t="s">
        <v>30</v>
      </c>
      <c r="B46" s="3" t="s">
        <v>31</v>
      </c>
      <c r="C46" s="3" t="s">
        <v>908</v>
      </c>
      <c r="D46" s="3" t="s">
        <v>909</v>
      </c>
      <c r="E46" s="3">
        <v>0</v>
      </c>
      <c r="F46" s="3">
        <v>1.1990000000000001</v>
      </c>
      <c r="G46" s="3">
        <v>7</v>
      </c>
      <c r="H46" s="3">
        <v>1</v>
      </c>
      <c r="I46" s="3">
        <v>1</v>
      </c>
      <c r="J46" s="3">
        <v>1</v>
      </c>
      <c r="K46" s="3">
        <v>1</v>
      </c>
      <c r="L46" s="3">
        <v>131</v>
      </c>
      <c r="M46" s="3">
        <v>14.2</v>
      </c>
      <c r="N46" s="3">
        <v>10.07</v>
      </c>
      <c r="O46" s="3">
        <v>0</v>
      </c>
      <c r="P46" s="3">
        <v>1</v>
      </c>
      <c r="Q46" s="3" t="s">
        <v>336</v>
      </c>
      <c r="R46" s="3" t="s">
        <v>910</v>
      </c>
      <c r="S46" s="3" t="s">
        <v>883</v>
      </c>
      <c r="T46" s="3" t="s">
        <v>911</v>
      </c>
      <c r="U46" s="3" t="s">
        <v>912</v>
      </c>
      <c r="V46" s="3" t="s">
        <v>913</v>
      </c>
      <c r="W46" s="3" t="s">
        <v>34</v>
      </c>
      <c r="X46" s="3" t="s">
        <v>914</v>
      </c>
      <c r="Y46" s="3" t="s">
        <v>34</v>
      </c>
      <c r="Z46" s="3" t="s">
        <v>34</v>
      </c>
      <c r="AA46" s="3">
        <v>0</v>
      </c>
      <c r="AB46" s="3" t="s">
        <v>30</v>
      </c>
      <c r="AC46" s="3">
        <v>1</v>
      </c>
      <c r="AD46" s="3" t="s">
        <v>34</v>
      </c>
    </row>
    <row r="47" spans="1:30" x14ac:dyDescent="0.2">
      <c r="A47" s="3" t="s">
        <v>30</v>
      </c>
      <c r="B47" s="3" t="s">
        <v>31</v>
      </c>
      <c r="C47" s="3" t="s">
        <v>917</v>
      </c>
      <c r="D47" s="3" t="s">
        <v>918</v>
      </c>
      <c r="E47" s="3">
        <v>0</v>
      </c>
      <c r="F47" s="3">
        <v>1.179</v>
      </c>
      <c r="G47" s="3">
        <v>2</v>
      </c>
      <c r="H47" s="3">
        <v>1</v>
      </c>
      <c r="I47" s="3">
        <v>1</v>
      </c>
      <c r="J47" s="3">
        <v>1</v>
      </c>
      <c r="K47" s="3">
        <v>1</v>
      </c>
      <c r="L47" s="3">
        <v>412</v>
      </c>
      <c r="M47" s="3">
        <v>47.4</v>
      </c>
      <c r="N47" s="3">
        <v>4.58</v>
      </c>
      <c r="O47" s="3">
        <v>0</v>
      </c>
      <c r="P47" s="3">
        <v>1</v>
      </c>
      <c r="Q47" s="3" t="s">
        <v>842</v>
      </c>
      <c r="R47" s="3" t="s">
        <v>910</v>
      </c>
      <c r="S47" s="3" t="s">
        <v>561</v>
      </c>
      <c r="T47" s="3" t="s">
        <v>34</v>
      </c>
      <c r="U47" s="3" t="s">
        <v>919</v>
      </c>
      <c r="V47" s="3" t="s">
        <v>920</v>
      </c>
      <c r="W47" s="3" t="s">
        <v>34</v>
      </c>
      <c r="X47" s="3" t="s">
        <v>921</v>
      </c>
      <c r="Y47" s="3" t="s">
        <v>922</v>
      </c>
      <c r="Z47" s="3" t="s">
        <v>34</v>
      </c>
      <c r="AA47" s="3">
        <v>1</v>
      </c>
      <c r="AB47" s="3" t="s">
        <v>30</v>
      </c>
      <c r="AC47" s="3">
        <v>1</v>
      </c>
      <c r="AD47" s="3" t="s">
        <v>34</v>
      </c>
    </row>
    <row r="48" spans="1:30" x14ac:dyDescent="0.2">
      <c r="A48" s="3" t="s">
        <v>30</v>
      </c>
      <c r="B48" s="3" t="s">
        <v>31</v>
      </c>
      <c r="C48" s="3" t="s">
        <v>216</v>
      </c>
      <c r="D48" s="3" t="s">
        <v>926</v>
      </c>
      <c r="E48" s="3">
        <v>0</v>
      </c>
      <c r="F48" s="3">
        <v>1.151</v>
      </c>
      <c r="G48" s="3">
        <v>1</v>
      </c>
      <c r="H48" s="3">
        <v>1</v>
      </c>
      <c r="I48" s="3">
        <v>1</v>
      </c>
      <c r="J48" s="3">
        <v>1</v>
      </c>
      <c r="K48" s="3">
        <v>1</v>
      </c>
      <c r="L48" s="3">
        <v>609</v>
      </c>
      <c r="M48" s="3">
        <v>69.3</v>
      </c>
      <c r="N48" s="3">
        <v>6.28</v>
      </c>
      <c r="O48" s="3">
        <v>0</v>
      </c>
      <c r="P48" s="3">
        <v>1</v>
      </c>
      <c r="Q48" s="3" t="s">
        <v>702</v>
      </c>
      <c r="R48" s="3" t="s">
        <v>927</v>
      </c>
      <c r="S48" s="3" t="s">
        <v>883</v>
      </c>
      <c r="T48" s="3" t="s">
        <v>928</v>
      </c>
      <c r="U48" s="3" t="s">
        <v>929</v>
      </c>
      <c r="V48" s="3" t="s">
        <v>930</v>
      </c>
      <c r="W48" s="3" t="s">
        <v>931</v>
      </c>
      <c r="X48" s="3" t="s">
        <v>932</v>
      </c>
      <c r="Y48" s="3" t="s">
        <v>933</v>
      </c>
      <c r="Z48" s="3" t="s">
        <v>934</v>
      </c>
      <c r="AA48" s="3">
        <v>16</v>
      </c>
      <c r="AB48" s="3" t="s">
        <v>30</v>
      </c>
      <c r="AC48" s="3">
        <v>1</v>
      </c>
      <c r="AD48" s="3" t="s">
        <v>34</v>
      </c>
    </row>
    <row r="49" spans="1:30" x14ac:dyDescent="0.2">
      <c r="A49" s="3" t="s">
        <v>30</v>
      </c>
      <c r="B49" s="3" t="s">
        <v>31</v>
      </c>
      <c r="C49" s="3" t="s">
        <v>937</v>
      </c>
      <c r="D49" s="3" t="s">
        <v>938</v>
      </c>
      <c r="E49" s="3">
        <v>0</v>
      </c>
      <c r="F49" s="3">
        <v>1.1499999999999999</v>
      </c>
      <c r="G49" s="3">
        <v>5</v>
      </c>
      <c r="H49" s="3">
        <v>1</v>
      </c>
      <c r="I49" s="3">
        <v>1</v>
      </c>
      <c r="J49" s="3">
        <v>1</v>
      </c>
      <c r="K49" s="3">
        <v>1</v>
      </c>
      <c r="L49" s="3">
        <v>422</v>
      </c>
      <c r="M49" s="3">
        <v>48</v>
      </c>
      <c r="N49" s="3">
        <v>6.44</v>
      </c>
      <c r="O49" s="3">
        <v>0</v>
      </c>
      <c r="P49" s="3">
        <v>1</v>
      </c>
      <c r="Q49" s="3" t="s">
        <v>34</v>
      </c>
      <c r="R49" s="3" t="s">
        <v>34</v>
      </c>
      <c r="S49" s="3" t="s">
        <v>34</v>
      </c>
      <c r="T49" s="3" t="s">
        <v>34</v>
      </c>
      <c r="U49" s="3" t="s">
        <v>34</v>
      </c>
      <c r="V49" s="3" t="s">
        <v>937</v>
      </c>
      <c r="W49" s="3" t="s">
        <v>34</v>
      </c>
      <c r="X49" s="3" t="s">
        <v>34</v>
      </c>
      <c r="Y49" s="3" t="s">
        <v>34</v>
      </c>
      <c r="Z49" s="3" t="s">
        <v>34</v>
      </c>
      <c r="AA49" s="3">
        <v>0</v>
      </c>
      <c r="AB49" s="3" t="s">
        <v>30</v>
      </c>
      <c r="AC49" s="3">
        <v>1</v>
      </c>
      <c r="AD49" s="3" t="s">
        <v>34</v>
      </c>
    </row>
    <row r="50" spans="1:30" x14ac:dyDescent="0.2">
      <c r="A50" s="3" t="s">
        <v>941</v>
      </c>
      <c r="B50" s="3" t="s">
        <v>31</v>
      </c>
      <c r="C50" s="3" t="s">
        <v>942</v>
      </c>
      <c r="D50" s="3" t="s">
        <v>943</v>
      </c>
      <c r="E50" s="3">
        <v>0.01</v>
      </c>
      <c r="F50" s="3">
        <v>1.1040000000000001</v>
      </c>
      <c r="G50" s="3">
        <v>4</v>
      </c>
      <c r="H50" s="3">
        <v>1</v>
      </c>
      <c r="I50" s="3">
        <v>1</v>
      </c>
      <c r="J50" s="3">
        <v>1</v>
      </c>
      <c r="K50" s="3">
        <v>1</v>
      </c>
      <c r="L50" s="3">
        <v>487</v>
      </c>
      <c r="M50" s="3">
        <v>55.3</v>
      </c>
      <c r="N50" s="3">
        <v>4.97</v>
      </c>
      <c r="O50" s="3">
        <v>2.69</v>
      </c>
      <c r="P50" s="3">
        <v>1</v>
      </c>
      <c r="Q50" s="3" t="s">
        <v>944</v>
      </c>
      <c r="R50" s="3" t="s">
        <v>945</v>
      </c>
      <c r="S50" s="3" t="s">
        <v>883</v>
      </c>
      <c r="T50" s="3" t="s">
        <v>946</v>
      </c>
      <c r="U50" s="3" t="s">
        <v>947</v>
      </c>
      <c r="V50" s="3" t="s">
        <v>948</v>
      </c>
      <c r="W50" s="3" t="s">
        <v>34</v>
      </c>
      <c r="X50" s="3" t="s">
        <v>949</v>
      </c>
      <c r="Y50" s="3" t="s">
        <v>950</v>
      </c>
      <c r="Z50" s="3" t="s">
        <v>951</v>
      </c>
      <c r="AA50" s="3">
        <v>3</v>
      </c>
      <c r="AB50" s="3" t="s">
        <v>30</v>
      </c>
      <c r="AC50" s="3">
        <v>1</v>
      </c>
      <c r="AD50" s="3" t="s">
        <v>34</v>
      </c>
    </row>
    <row r="51" spans="1:30" x14ac:dyDescent="0.2">
      <c r="A51" s="3" t="s">
        <v>941</v>
      </c>
      <c r="B51" s="3" t="s">
        <v>31</v>
      </c>
      <c r="C51" s="3" t="s">
        <v>955</v>
      </c>
      <c r="D51" s="3" t="s">
        <v>956</v>
      </c>
      <c r="E51" s="3">
        <v>0.02</v>
      </c>
      <c r="F51" s="3">
        <v>1.079</v>
      </c>
      <c r="G51" s="3">
        <v>4</v>
      </c>
      <c r="H51" s="3">
        <v>1</v>
      </c>
      <c r="I51" s="3">
        <v>1</v>
      </c>
      <c r="J51" s="3">
        <v>1</v>
      </c>
      <c r="K51" s="3">
        <v>1</v>
      </c>
      <c r="L51" s="3">
        <v>306</v>
      </c>
      <c r="M51" s="3">
        <v>35.9</v>
      </c>
      <c r="N51" s="3">
        <v>7.28</v>
      </c>
      <c r="O51" s="3">
        <v>0</v>
      </c>
      <c r="P51" s="3">
        <v>1</v>
      </c>
      <c r="Q51" s="3" t="s">
        <v>34</v>
      </c>
      <c r="R51" s="3" t="s">
        <v>34</v>
      </c>
      <c r="S51" s="3" t="s">
        <v>34</v>
      </c>
      <c r="T51" s="3" t="s">
        <v>34</v>
      </c>
      <c r="U51" s="3" t="s">
        <v>957</v>
      </c>
      <c r="V51" s="3" t="s">
        <v>958</v>
      </c>
      <c r="W51" s="3" t="s">
        <v>34</v>
      </c>
      <c r="X51" s="3" t="s">
        <v>955</v>
      </c>
      <c r="Y51" s="3" t="s">
        <v>34</v>
      </c>
      <c r="Z51" s="3" t="s">
        <v>34</v>
      </c>
      <c r="AA51" s="3">
        <v>0</v>
      </c>
      <c r="AB51" s="3" t="s">
        <v>30</v>
      </c>
      <c r="AC51" s="3">
        <v>1</v>
      </c>
      <c r="AD51" s="3" t="s">
        <v>34</v>
      </c>
    </row>
    <row r="52" spans="1:30" x14ac:dyDescent="0.2">
      <c r="A52" s="3" t="s">
        <v>941</v>
      </c>
      <c r="B52" s="3" t="s">
        <v>31</v>
      </c>
      <c r="C52" s="3" t="s">
        <v>961</v>
      </c>
      <c r="D52" s="3" t="s">
        <v>962</v>
      </c>
      <c r="E52" s="3">
        <v>0.02</v>
      </c>
      <c r="F52" s="3">
        <v>1.0780000000000001</v>
      </c>
      <c r="G52" s="3">
        <v>2</v>
      </c>
      <c r="H52" s="3">
        <v>1</v>
      </c>
      <c r="I52" s="3">
        <v>1</v>
      </c>
      <c r="J52" s="3">
        <v>1</v>
      </c>
      <c r="K52" s="3">
        <v>1</v>
      </c>
      <c r="L52" s="3">
        <v>642</v>
      </c>
      <c r="M52" s="3">
        <v>69.599999999999994</v>
      </c>
      <c r="N52" s="3">
        <v>5.1100000000000003</v>
      </c>
      <c r="O52" s="3">
        <v>0</v>
      </c>
      <c r="P52" s="3">
        <v>1</v>
      </c>
      <c r="Q52" s="3" t="s">
        <v>963</v>
      </c>
      <c r="R52" s="3" t="s">
        <v>964</v>
      </c>
      <c r="S52" s="3" t="s">
        <v>883</v>
      </c>
      <c r="T52" s="3" t="s">
        <v>965</v>
      </c>
      <c r="U52" s="3" t="s">
        <v>966</v>
      </c>
      <c r="V52" s="3" t="s">
        <v>967</v>
      </c>
      <c r="W52" s="3" t="s">
        <v>34</v>
      </c>
      <c r="X52" s="3" t="s">
        <v>968</v>
      </c>
      <c r="Y52" s="3" t="s">
        <v>969</v>
      </c>
      <c r="Z52" s="3" t="s">
        <v>34</v>
      </c>
      <c r="AA52" s="3">
        <v>3</v>
      </c>
      <c r="AB52" s="3" t="s">
        <v>30</v>
      </c>
      <c r="AC52" s="3">
        <v>1</v>
      </c>
      <c r="AD52" s="3" t="s">
        <v>34</v>
      </c>
    </row>
    <row r="53" spans="1:30" x14ac:dyDescent="0.2">
      <c r="A53" s="3" t="s">
        <v>941</v>
      </c>
      <c r="B53" s="3" t="s">
        <v>31</v>
      </c>
      <c r="C53" s="3" t="s">
        <v>972</v>
      </c>
      <c r="D53" s="3" t="s">
        <v>973</v>
      </c>
      <c r="E53" s="3">
        <v>1.9E-2</v>
      </c>
      <c r="F53" s="3">
        <v>1.0429999999999999</v>
      </c>
      <c r="G53" s="3">
        <v>1</v>
      </c>
      <c r="H53" s="3">
        <v>1</v>
      </c>
      <c r="I53" s="3">
        <v>1</v>
      </c>
      <c r="J53" s="3">
        <v>1</v>
      </c>
      <c r="K53" s="3">
        <v>1</v>
      </c>
      <c r="L53" s="3">
        <v>870</v>
      </c>
      <c r="M53" s="3">
        <v>96.1</v>
      </c>
      <c r="N53" s="3">
        <v>8.59</v>
      </c>
      <c r="O53" s="3">
        <v>1.66</v>
      </c>
      <c r="P53" s="3">
        <v>1</v>
      </c>
      <c r="Q53" s="3" t="s">
        <v>129</v>
      </c>
      <c r="R53" s="3" t="s">
        <v>974</v>
      </c>
      <c r="S53" s="3" t="s">
        <v>975</v>
      </c>
      <c r="T53" s="3" t="s">
        <v>976</v>
      </c>
      <c r="U53" s="3" t="s">
        <v>977</v>
      </c>
      <c r="V53" s="3" t="s">
        <v>978</v>
      </c>
      <c r="W53" s="3" t="s">
        <v>34</v>
      </c>
      <c r="X53" s="3" t="s">
        <v>979</v>
      </c>
      <c r="Y53" s="3" t="s">
        <v>980</v>
      </c>
      <c r="Z53" s="3" t="s">
        <v>34</v>
      </c>
      <c r="AA53" s="3">
        <v>1</v>
      </c>
      <c r="AB53" s="3" t="s">
        <v>30</v>
      </c>
      <c r="AC53" s="3">
        <v>1</v>
      </c>
      <c r="AD53" s="3" t="s">
        <v>34</v>
      </c>
    </row>
    <row r="54" spans="1:30" x14ac:dyDescent="0.2">
      <c r="A54" s="3" t="s">
        <v>941</v>
      </c>
      <c r="B54" s="3" t="s">
        <v>31</v>
      </c>
      <c r="C54" s="3" t="s">
        <v>216</v>
      </c>
      <c r="D54" s="3" t="s">
        <v>983</v>
      </c>
      <c r="E54" s="3">
        <v>1.9E-2</v>
      </c>
      <c r="F54" s="3">
        <v>1.0389999999999999</v>
      </c>
      <c r="G54" s="3">
        <v>8</v>
      </c>
      <c r="H54" s="3">
        <v>1</v>
      </c>
      <c r="I54" s="3">
        <v>1</v>
      </c>
      <c r="J54" s="3">
        <v>1</v>
      </c>
      <c r="K54" s="3">
        <v>1</v>
      </c>
      <c r="L54" s="3">
        <v>141</v>
      </c>
      <c r="M54" s="3">
        <v>15.1</v>
      </c>
      <c r="N54" s="3">
        <v>8.68</v>
      </c>
      <c r="O54" s="3">
        <v>0</v>
      </c>
      <c r="P54" s="3">
        <v>1</v>
      </c>
      <c r="Q54" s="3" t="s">
        <v>34</v>
      </c>
      <c r="R54" s="3" t="s">
        <v>34</v>
      </c>
      <c r="S54" s="3" t="s">
        <v>34</v>
      </c>
      <c r="T54" s="3" t="s">
        <v>34</v>
      </c>
      <c r="U54" s="3" t="s">
        <v>34</v>
      </c>
      <c r="V54" s="3" t="s">
        <v>216</v>
      </c>
      <c r="W54" s="3" t="s">
        <v>34</v>
      </c>
      <c r="X54" s="3" t="s">
        <v>34</v>
      </c>
      <c r="Y54" s="3" t="s">
        <v>34</v>
      </c>
      <c r="Z54" s="3" t="s">
        <v>34</v>
      </c>
      <c r="AA54" s="3">
        <v>0</v>
      </c>
      <c r="AB54" s="3" t="s">
        <v>30</v>
      </c>
      <c r="AC54" s="3">
        <v>1</v>
      </c>
      <c r="AD54" s="3" t="s">
        <v>34</v>
      </c>
    </row>
    <row r="55" spans="1:30" x14ac:dyDescent="0.2">
      <c r="A55" s="3" t="s">
        <v>941</v>
      </c>
      <c r="B55" s="3" t="s">
        <v>31</v>
      </c>
      <c r="C55" s="3" t="s">
        <v>986</v>
      </c>
      <c r="D55" s="3" t="s">
        <v>987</v>
      </c>
      <c r="E55" s="3">
        <v>1.9E-2</v>
      </c>
      <c r="F55" s="3">
        <v>1.024</v>
      </c>
      <c r="G55" s="3">
        <v>3</v>
      </c>
      <c r="H55" s="3">
        <v>1</v>
      </c>
      <c r="I55" s="3">
        <v>1</v>
      </c>
      <c r="J55" s="3">
        <v>1</v>
      </c>
      <c r="K55" s="3">
        <v>1</v>
      </c>
      <c r="L55" s="3">
        <v>258</v>
      </c>
      <c r="M55" s="3">
        <v>28.7</v>
      </c>
      <c r="N55" s="3">
        <v>5.22</v>
      </c>
      <c r="O55" s="3">
        <v>0</v>
      </c>
      <c r="P55" s="3">
        <v>1</v>
      </c>
      <c r="Q55" s="3" t="s">
        <v>988</v>
      </c>
      <c r="R55" s="3" t="s">
        <v>989</v>
      </c>
      <c r="S55" s="3" t="s">
        <v>34</v>
      </c>
      <c r="T55" s="3" t="s">
        <v>990</v>
      </c>
      <c r="U55" s="3" t="s">
        <v>991</v>
      </c>
      <c r="V55" s="3" t="s">
        <v>992</v>
      </c>
      <c r="W55" s="3" t="s">
        <v>34</v>
      </c>
      <c r="X55" s="3" t="s">
        <v>993</v>
      </c>
      <c r="Y55" s="3" t="s">
        <v>994</v>
      </c>
      <c r="Z55" s="3" t="s">
        <v>995</v>
      </c>
      <c r="AA55" s="3">
        <v>4</v>
      </c>
      <c r="AB55" s="3" t="s">
        <v>30</v>
      </c>
      <c r="AC55" s="3">
        <v>1</v>
      </c>
      <c r="AD55" s="3" t="s">
        <v>34</v>
      </c>
    </row>
    <row r="56" spans="1:30" x14ac:dyDescent="0.2">
      <c r="A56" s="3" t="s">
        <v>941</v>
      </c>
      <c r="B56" s="3" t="s">
        <v>31</v>
      </c>
      <c r="C56" s="3" t="s">
        <v>998</v>
      </c>
      <c r="D56" s="3" t="s">
        <v>999</v>
      </c>
      <c r="E56" s="3">
        <v>1.9E-2</v>
      </c>
      <c r="F56" s="3">
        <v>0.995</v>
      </c>
      <c r="G56" s="3">
        <v>2</v>
      </c>
      <c r="H56" s="3">
        <v>1</v>
      </c>
      <c r="I56" s="3">
        <v>1</v>
      </c>
      <c r="J56" s="3">
        <v>1</v>
      </c>
      <c r="K56" s="3">
        <v>1</v>
      </c>
      <c r="L56" s="3">
        <v>546</v>
      </c>
      <c r="M56" s="3">
        <v>59.9</v>
      </c>
      <c r="N56" s="3">
        <v>7.71</v>
      </c>
      <c r="O56" s="3">
        <v>0</v>
      </c>
      <c r="P56" s="3">
        <v>1</v>
      </c>
      <c r="Q56" s="3" t="s">
        <v>1000</v>
      </c>
      <c r="R56" s="3" t="s">
        <v>1001</v>
      </c>
      <c r="S56" s="3" t="s">
        <v>561</v>
      </c>
      <c r="T56" s="3" t="s">
        <v>1002</v>
      </c>
      <c r="U56" s="3" t="s">
        <v>1003</v>
      </c>
      <c r="V56" s="3" t="s">
        <v>1004</v>
      </c>
      <c r="W56" s="3" t="s">
        <v>34</v>
      </c>
      <c r="X56" s="3" t="s">
        <v>1005</v>
      </c>
      <c r="Y56" s="3" t="s">
        <v>34</v>
      </c>
      <c r="Z56" s="3" t="s">
        <v>34</v>
      </c>
      <c r="AA56" s="3">
        <v>0</v>
      </c>
      <c r="AB56" s="3" t="s">
        <v>30</v>
      </c>
      <c r="AC56" s="3">
        <v>1</v>
      </c>
      <c r="AD56" s="3" t="s">
        <v>34</v>
      </c>
    </row>
    <row r="57" spans="1:30" x14ac:dyDescent="0.2">
      <c r="A57" s="3" t="s">
        <v>941</v>
      </c>
      <c r="B57" s="3" t="s">
        <v>31</v>
      </c>
      <c r="C57" s="3" t="s">
        <v>1009</v>
      </c>
      <c r="D57" s="3" t="s">
        <v>1010</v>
      </c>
      <c r="E57" s="3">
        <v>1.9E-2</v>
      </c>
      <c r="F57" s="3">
        <v>0.99099999999999999</v>
      </c>
      <c r="G57" s="3">
        <v>1</v>
      </c>
      <c r="H57" s="3">
        <v>1</v>
      </c>
      <c r="I57" s="3">
        <v>1</v>
      </c>
      <c r="J57" s="3">
        <v>1</v>
      </c>
      <c r="K57" s="3">
        <v>1</v>
      </c>
      <c r="L57" s="3">
        <v>542</v>
      </c>
      <c r="M57" s="3">
        <v>59.6</v>
      </c>
      <c r="N57" s="3">
        <v>9.09</v>
      </c>
      <c r="O57" s="3">
        <v>0</v>
      </c>
      <c r="P57" s="3">
        <v>1</v>
      </c>
      <c r="Q57" s="3" t="s">
        <v>1011</v>
      </c>
      <c r="R57" s="3" t="s">
        <v>1012</v>
      </c>
      <c r="S57" s="3" t="s">
        <v>1013</v>
      </c>
      <c r="T57" s="3" t="s">
        <v>1014</v>
      </c>
      <c r="U57" s="3" t="s">
        <v>1015</v>
      </c>
      <c r="V57" s="3" t="s">
        <v>1016</v>
      </c>
      <c r="W57" s="3" t="s">
        <v>34</v>
      </c>
      <c r="X57" s="3" t="s">
        <v>1017</v>
      </c>
      <c r="Y57" s="3" t="s">
        <v>34</v>
      </c>
      <c r="Z57" s="3" t="s">
        <v>34</v>
      </c>
      <c r="AA57" s="3">
        <v>0</v>
      </c>
      <c r="AB57" s="3" t="s">
        <v>30</v>
      </c>
      <c r="AC57" s="3">
        <v>1</v>
      </c>
      <c r="AD57" s="3" t="s">
        <v>34</v>
      </c>
    </row>
    <row r="58" spans="1:30" x14ac:dyDescent="0.2">
      <c r="A58" s="3" t="s">
        <v>941</v>
      </c>
      <c r="B58" s="3" t="s">
        <v>31</v>
      </c>
      <c r="C58" s="3" t="s">
        <v>1020</v>
      </c>
      <c r="D58" s="3" t="s">
        <v>1021</v>
      </c>
      <c r="E58" s="3">
        <v>1.7999999999999999E-2</v>
      </c>
      <c r="F58" s="3">
        <v>0.94899999999999995</v>
      </c>
      <c r="G58" s="3">
        <v>1</v>
      </c>
      <c r="H58" s="3">
        <v>1</v>
      </c>
      <c r="I58" s="3">
        <v>1</v>
      </c>
      <c r="J58" s="3">
        <v>1</v>
      </c>
      <c r="K58" s="3">
        <v>1</v>
      </c>
      <c r="L58" s="3">
        <v>759</v>
      </c>
      <c r="M58" s="3">
        <v>87.3</v>
      </c>
      <c r="N58" s="3">
        <v>7.24</v>
      </c>
      <c r="O58" s="3">
        <v>0</v>
      </c>
      <c r="P58" s="3">
        <v>1</v>
      </c>
      <c r="Q58" s="3" t="s">
        <v>34</v>
      </c>
      <c r="R58" s="3" t="s">
        <v>34</v>
      </c>
      <c r="S58" s="3" t="s">
        <v>34</v>
      </c>
      <c r="T58" s="3" t="s">
        <v>34</v>
      </c>
      <c r="U58" s="3" t="s">
        <v>34</v>
      </c>
      <c r="V58" s="3" t="s">
        <v>1020</v>
      </c>
      <c r="W58" s="3" t="s">
        <v>34</v>
      </c>
      <c r="X58" s="3" t="s">
        <v>34</v>
      </c>
      <c r="Y58" s="3" t="s">
        <v>34</v>
      </c>
      <c r="Z58" s="3" t="s">
        <v>34</v>
      </c>
      <c r="AA58" s="3">
        <v>0</v>
      </c>
      <c r="AB58" s="3" t="s">
        <v>30</v>
      </c>
      <c r="AC58" s="3">
        <v>1</v>
      </c>
      <c r="AD58" s="3" t="s">
        <v>1022</v>
      </c>
    </row>
    <row r="59" spans="1:30" x14ac:dyDescent="0.2">
      <c r="A59" s="3" t="s">
        <v>941</v>
      </c>
      <c r="B59" s="3" t="s">
        <v>31</v>
      </c>
      <c r="C59" s="3" t="s">
        <v>1026</v>
      </c>
      <c r="D59" s="3" t="s">
        <v>1027</v>
      </c>
      <c r="E59" s="3">
        <v>1.7999999999999999E-2</v>
      </c>
      <c r="F59" s="3">
        <v>0.94499999999999995</v>
      </c>
      <c r="G59" s="3">
        <v>1</v>
      </c>
      <c r="H59" s="3">
        <v>1</v>
      </c>
      <c r="I59" s="3">
        <v>1</v>
      </c>
      <c r="J59" s="3">
        <v>1</v>
      </c>
      <c r="K59" s="3">
        <v>1</v>
      </c>
      <c r="L59" s="3">
        <v>899</v>
      </c>
      <c r="M59" s="3">
        <v>102.8</v>
      </c>
      <c r="N59" s="3">
        <v>5.99</v>
      </c>
      <c r="O59" s="3">
        <v>0</v>
      </c>
      <c r="P59" s="3">
        <v>1</v>
      </c>
      <c r="Q59" s="3" t="s">
        <v>1028</v>
      </c>
      <c r="R59" s="3" t="s">
        <v>910</v>
      </c>
      <c r="S59" s="3" t="s">
        <v>1029</v>
      </c>
      <c r="T59" s="3" t="s">
        <v>1030</v>
      </c>
      <c r="U59" s="3" t="s">
        <v>1031</v>
      </c>
      <c r="V59" s="3" t="s">
        <v>1032</v>
      </c>
      <c r="W59" s="3" t="s">
        <v>34</v>
      </c>
      <c r="X59" s="3" t="s">
        <v>1033</v>
      </c>
      <c r="Y59" s="3" t="s">
        <v>34</v>
      </c>
      <c r="Z59" s="3" t="s">
        <v>34</v>
      </c>
      <c r="AA59" s="3">
        <v>0</v>
      </c>
      <c r="AB59" s="3" t="s">
        <v>30</v>
      </c>
      <c r="AC59" s="3">
        <v>1</v>
      </c>
      <c r="AD59" s="3" t="s">
        <v>34</v>
      </c>
    </row>
    <row r="60" spans="1:30" x14ac:dyDescent="0.2">
      <c r="A60" s="3" t="s">
        <v>941</v>
      </c>
      <c r="B60" s="3" t="s">
        <v>31</v>
      </c>
      <c r="C60" s="3" t="s">
        <v>1036</v>
      </c>
      <c r="D60" s="3" t="s">
        <v>1037</v>
      </c>
      <c r="E60" s="3">
        <v>1.7999999999999999E-2</v>
      </c>
      <c r="F60" s="3">
        <v>0.91400000000000003</v>
      </c>
      <c r="G60" s="3">
        <v>2</v>
      </c>
      <c r="H60" s="3">
        <v>1</v>
      </c>
      <c r="I60" s="3">
        <v>1</v>
      </c>
      <c r="J60" s="3">
        <v>1</v>
      </c>
      <c r="K60" s="3">
        <v>1</v>
      </c>
      <c r="L60" s="3">
        <v>722</v>
      </c>
      <c r="M60" s="3">
        <v>78.7</v>
      </c>
      <c r="N60" s="3">
        <v>6.92</v>
      </c>
      <c r="O60" s="3">
        <v>0</v>
      </c>
      <c r="P60" s="3">
        <v>1</v>
      </c>
      <c r="Q60" s="3" t="s">
        <v>1038</v>
      </c>
      <c r="R60" s="3" t="s">
        <v>1039</v>
      </c>
      <c r="S60" s="3" t="s">
        <v>883</v>
      </c>
      <c r="T60" s="3" t="s">
        <v>1040</v>
      </c>
      <c r="U60" s="3" t="s">
        <v>1041</v>
      </c>
      <c r="V60" s="3" t="s">
        <v>1042</v>
      </c>
      <c r="W60" s="3" t="s">
        <v>34</v>
      </c>
      <c r="X60" s="3" t="s">
        <v>1043</v>
      </c>
      <c r="Y60" s="3" t="s">
        <v>34</v>
      </c>
      <c r="Z60" s="3" t="s">
        <v>34</v>
      </c>
      <c r="AA60" s="3">
        <v>0</v>
      </c>
      <c r="AB60" s="3" t="s">
        <v>30</v>
      </c>
      <c r="AC60" s="3">
        <v>1</v>
      </c>
      <c r="AD60" s="3" t="s">
        <v>34</v>
      </c>
    </row>
    <row r="61" spans="1:30" x14ac:dyDescent="0.2">
      <c r="A61" s="3" t="s">
        <v>941</v>
      </c>
      <c r="B61" s="3" t="s">
        <v>31</v>
      </c>
      <c r="C61" s="3" t="s">
        <v>1047</v>
      </c>
      <c r="D61" s="3" t="s">
        <v>1048</v>
      </c>
      <c r="E61" s="3">
        <v>1.7999999999999999E-2</v>
      </c>
      <c r="F61" s="3">
        <v>0.877</v>
      </c>
      <c r="G61" s="3">
        <v>1</v>
      </c>
      <c r="H61" s="3">
        <v>1</v>
      </c>
      <c r="I61" s="3">
        <v>1</v>
      </c>
      <c r="J61" s="3">
        <v>1</v>
      </c>
      <c r="K61" s="3">
        <v>1</v>
      </c>
      <c r="L61" s="3">
        <v>600</v>
      </c>
      <c r="M61" s="3">
        <v>69.400000000000006</v>
      </c>
      <c r="N61" s="3">
        <v>8.0299999999999994</v>
      </c>
      <c r="O61" s="3">
        <v>0</v>
      </c>
      <c r="P61" s="3">
        <v>1</v>
      </c>
      <c r="Q61" s="3" t="s">
        <v>1049</v>
      </c>
      <c r="R61" s="3" t="s">
        <v>910</v>
      </c>
      <c r="S61" s="3" t="s">
        <v>883</v>
      </c>
      <c r="T61" s="3" t="s">
        <v>1050</v>
      </c>
      <c r="U61" s="3" t="s">
        <v>1051</v>
      </c>
      <c r="V61" s="3" t="s">
        <v>1052</v>
      </c>
      <c r="W61" s="3" t="s">
        <v>34</v>
      </c>
      <c r="X61" s="3" t="s">
        <v>1053</v>
      </c>
      <c r="Y61" s="3" t="s">
        <v>34</v>
      </c>
      <c r="Z61" s="3" t="s">
        <v>34</v>
      </c>
      <c r="AA61" s="3">
        <v>0</v>
      </c>
      <c r="AB61" s="3" t="s">
        <v>30</v>
      </c>
      <c r="AC61" s="3">
        <v>1</v>
      </c>
      <c r="AD61" s="3" t="s">
        <v>34</v>
      </c>
    </row>
    <row r="62" spans="1:30" x14ac:dyDescent="0.2">
      <c r="A62" s="3" t="s">
        <v>941</v>
      </c>
      <c r="B62" s="3" t="s">
        <v>31</v>
      </c>
      <c r="C62" s="3" t="s">
        <v>1056</v>
      </c>
      <c r="D62" s="3" t="s">
        <v>1057</v>
      </c>
      <c r="E62" s="3">
        <v>1.7999999999999999E-2</v>
      </c>
      <c r="F62" s="3">
        <v>0.87</v>
      </c>
      <c r="G62" s="3">
        <v>1</v>
      </c>
      <c r="H62" s="3">
        <v>1</v>
      </c>
      <c r="I62" s="3">
        <v>1</v>
      </c>
      <c r="J62" s="3">
        <v>1</v>
      </c>
      <c r="K62" s="3">
        <v>1</v>
      </c>
      <c r="L62" s="3">
        <v>923</v>
      </c>
      <c r="M62" s="3">
        <v>103.9</v>
      </c>
      <c r="N62" s="3">
        <v>5.0999999999999996</v>
      </c>
      <c r="O62" s="3">
        <v>0</v>
      </c>
      <c r="P62" s="3">
        <v>1</v>
      </c>
      <c r="Q62" s="3" t="s">
        <v>1058</v>
      </c>
      <c r="R62" s="3" t="s">
        <v>910</v>
      </c>
      <c r="S62" s="3" t="s">
        <v>34</v>
      </c>
      <c r="T62" s="3" t="s">
        <v>1059</v>
      </c>
      <c r="U62" s="3" t="s">
        <v>1060</v>
      </c>
      <c r="V62" s="3" t="s">
        <v>1061</v>
      </c>
      <c r="W62" s="3" t="s">
        <v>34</v>
      </c>
      <c r="X62" s="3" t="s">
        <v>1062</v>
      </c>
      <c r="Y62" s="3" t="s">
        <v>1063</v>
      </c>
      <c r="Z62" s="3" t="s">
        <v>34</v>
      </c>
      <c r="AA62" s="3">
        <v>1</v>
      </c>
      <c r="AB62" s="3" t="s">
        <v>30</v>
      </c>
      <c r="AC62" s="3">
        <v>1</v>
      </c>
      <c r="AD62" s="3" t="s">
        <v>34</v>
      </c>
    </row>
    <row r="63" spans="1:30" x14ac:dyDescent="0.2">
      <c r="A63" s="3" t="s">
        <v>941</v>
      </c>
      <c r="B63" s="3" t="s">
        <v>31</v>
      </c>
      <c r="C63" s="3" t="s">
        <v>1066</v>
      </c>
      <c r="D63" s="3" t="s">
        <v>1067</v>
      </c>
      <c r="E63" s="3">
        <v>1.7000000000000001E-2</v>
      </c>
      <c r="F63" s="3">
        <v>0.86499999999999999</v>
      </c>
      <c r="G63" s="3">
        <v>7</v>
      </c>
      <c r="H63" s="3">
        <v>1</v>
      </c>
      <c r="I63" s="3">
        <v>1</v>
      </c>
      <c r="J63" s="3">
        <v>1</v>
      </c>
      <c r="K63" s="3">
        <v>1</v>
      </c>
      <c r="L63" s="3">
        <v>239</v>
      </c>
      <c r="M63" s="3">
        <v>27.6</v>
      </c>
      <c r="N63" s="3">
        <v>8.51</v>
      </c>
      <c r="O63" s="3">
        <v>0</v>
      </c>
      <c r="P63" s="3">
        <v>1</v>
      </c>
      <c r="Q63" s="3" t="s">
        <v>842</v>
      </c>
      <c r="R63" s="3" t="s">
        <v>1068</v>
      </c>
      <c r="S63" s="3" t="s">
        <v>561</v>
      </c>
      <c r="T63" s="3" t="s">
        <v>1069</v>
      </c>
      <c r="U63" s="3" t="s">
        <v>1070</v>
      </c>
      <c r="V63" s="3" t="s">
        <v>1071</v>
      </c>
      <c r="W63" s="3" t="s">
        <v>34</v>
      </c>
      <c r="X63" s="3" t="s">
        <v>1072</v>
      </c>
      <c r="Y63" s="3" t="s">
        <v>1073</v>
      </c>
      <c r="Z63" s="3" t="s">
        <v>34</v>
      </c>
      <c r="AA63" s="3">
        <v>1</v>
      </c>
      <c r="AB63" s="3" t="s">
        <v>30</v>
      </c>
      <c r="AC63" s="3">
        <v>1</v>
      </c>
      <c r="AD63" s="3" t="s">
        <v>1074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5"/>
  <sheetViews>
    <sheetView workbookViewId="0">
      <selection sqref="A1:XFD1"/>
    </sheetView>
  </sheetViews>
  <sheetFormatPr baseColWidth="10" defaultColWidth="8.83203125" defaultRowHeight="15" x14ac:dyDescent="0.2"/>
  <sheetData>
    <row r="1" spans="1:1" x14ac:dyDescent="0.2">
      <c r="A1" t="s">
        <v>1079</v>
      </c>
    </row>
    <row r="2" spans="1:1" x14ac:dyDescent="0.2">
      <c r="A2" t="s">
        <v>1080</v>
      </c>
    </row>
    <row r="3" spans="1:1" x14ac:dyDescent="0.2">
      <c r="A3" t="s">
        <v>1079</v>
      </c>
    </row>
    <row r="4" spans="1:1" x14ac:dyDescent="0.2">
      <c r="A4" t="s">
        <v>1081</v>
      </c>
    </row>
    <row r="5" spans="1:1" x14ac:dyDescent="0.2">
      <c r="A5" t="s">
        <v>1082</v>
      </c>
    </row>
    <row r="6" spans="1:1" x14ac:dyDescent="0.2">
      <c r="A6" t="s">
        <v>1083</v>
      </c>
    </row>
    <row r="8" spans="1:1" x14ac:dyDescent="0.2">
      <c r="A8" t="s">
        <v>1084</v>
      </c>
    </row>
    <row r="9" spans="1:1" x14ac:dyDescent="0.2">
      <c r="A9" t="s">
        <v>1085</v>
      </c>
    </row>
    <row r="10" spans="1:1" x14ac:dyDescent="0.2">
      <c r="A10" t="s">
        <v>1086</v>
      </c>
    </row>
    <row r="13" spans="1:1" x14ac:dyDescent="0.2">
      <c r="A13" t="s">
        <v>1087</v>
      </c>
    </row>
    <row r="14" spans="1:1" x14ac:dyDescent="0.2">
      <c r="A14" t="s">
        <v>1088</v>
      </c>
    </row>
    <row r="15" spans="1:1" x14ac:dyDescent="0.2">
      <c r="A15" t="s">
        <v>1087</v>
      </c>
    </row>
    <row r="17" spans="1:1" x14ac:dyDescent="0.2">
      <c r="A17" t="s">
        <v>1089</v>
      </c>
    </row>
    <row r="18" spans="1:1" x14ac:dyDescent="0.2">
      <c r="A18" t="s">
        <v>1090</v>
      </c>
    </row>
    <row r="19" spans="1:1" x14ac:dyDescent="0.2">
      <c r="A19" t="s">
        <v>1091</v>
      </c>
    </row>
    <row r="20" spans="1:1" x14ac:dyDescent="0.2">
      <c r="A20" t="s">
        <v>1092</v>
      </c>
    </row>
    <row r="21" spans="1:1" x14ac:dyDescent="0.2">
      <c r="A21" t="s">
        <v>1093</v>
      </c>
    </row>
    <row r="23" spans="1:1" x14ac:dyDescent="0.2">
      <c r="A23" t="s">
        <v>1087</v>
      </c>
    </row>
    <row r="24" spans="1:1" x14ac:dyDescent="0.2">
      <c r="A24" t="s">
        <v>1094</v>
      </c>
    </row>
    <row r="25" spans="1:1" x14ac:dyDescent="0.2">
      <c r="A25" t="s">
        <v>1087</v>
      </c>
    </row>
    <row r="26" spans="1:1" x14ac:dyDescent="0.2">
      <c r="A26" t="s">
        <v>1095</v>
      </c>
    </row>
    <row r="27" spans="1:1" x14ac:dyDescent="0.2">
      <c r="A27" t="e">
        <f ca="1">- File Name(s):  D:\dmallett\111422_Eclipse\DM110422_111422_2.raw</f>
        <v>#NAME?</v>
      </c>
    </row>
    <row r="28" spans="1:1" x14ac:dyDescent="0.2">
      <c r="A28" t="s">
        <v>1096</v>
      </c>
    </row>
    <row r="29" spans="1:1" x14ac:dyDescent="0.2">
      <c r="A29" t="e">
        <f>- Enzyme Name:  Trypsin (Full)</f>
        <v>#NAME?</v>
      </c>
    </row>
    <row r="30" spans="1:1" x14ac:dyDescent="0.2">
      <c r="A30" t="s">
        <v>1097</v>
      </c>
    </row>
    <row r="31" spans="1:1" x14ac:dyDescent="0.2">
      <c r="A31" t="s">
        <v>1098</v>
      </c>
    </row>
    <row r="32" spans="1:1" x14ac:dyDescent="0.2">
      <c r="A32" t="s">
        <v>1099</v>
      </c>
    </row>
    <row r="33" spans="1:1" x14ac:dyDescent="0.2">
      <c r="A33" t="s">
        <v>1100</v>
      </c>
    </row>
    <row r="35" spans="1:1" x14ac:dyDescent="0.2">
      <c r="A35" t="s">
        <v>1101</v>
      </c>
    </row>
    <row r="36" spans="1:1" x14ac:dyDescent="0.2">
      <c r="A36" t="e">
        <f>- Regression Model:  Non-linear Regression</f>
        <v>#NAME?</v>
      </c>
    </row>
    <row r="37" spans="1:1" x14ac:dyDescent="0.2">
      <c r="A37" t="e">
        <f>- Parameter Tuning:  Coarse</f>
        <v>#NAME?</v>
      </c>
    </row>
    <row r="39" spans="1:1" x14ac:dyDescent="0.2">
      <c r="A39" t="s">
        <v>1087</v>
      </c>
    </row>
    <row r="40" spans="1:1" x14ac:dyDescent="0.2">
      <c r="A40" t="s">
        <v>1102</v>
      </c>
    </row>
    <row r="41" spans="1:1" x14ac:dyDescent="0.2">
      <c r="A41" t="s">
        <v>1087</v>
      </c>
    </row>
    <row r="42" spans="1:1" x14ac:dyDescent="0.2">
      <c r="A42" t="s">
        <v>1103</v>
      </c>
    </row>
    <row r="43" spans="1:1" x14ac:dyDescent="0.2">
      <c r="A43" t="e">
        <f>- Precursor Selection:  Use MS1 Precursor</f>
        <v>#NAME?</v>
      </c>
    </row>
    <row r="44" spans="1:1" x14ac:dyDescent="0.2">
      <c r="A44" t="s">
        <v>1104</v>
      </c>
    </row>
    <row r="45" spans="1:1" x14ac:dyDescent="0.2">
      <c r="A45" t="e">
        <f>- Provide Profile Spectra:  Automatic</f>
        <v>#NAME?</v>
      </c>
    </row>
    <row r="47" spans="1:1" x14ac:dyDescent="0.2">
      <c r="A47" t="s">
        <v>1105</v>
      </c>
    </row>
    <row r="48" spans="1:1" x14ac:dyDescent="0.2">
      <c r="A48" t="s">
        <v>1106</v>
      </c>
    </row>
    <row r="49" spans="1:1" x14ac:dyDescent="0.2">
      <c r="A49" t="s">
        <v>1107</v>
      </c>
    </row>
    <row r="50" spans="1:1" x14ac:dyDescent="0.2">
      <c r="A50" t="s">
        <v>1108</v>
      </c>
    </row>
    <row r="51" spans="1:1" x14ac:dyDescent="0.2">
      <c r="A51" t="s">
        <v>1109</v>
      </c>
    </row>
    <row r="52" spans="1:1" x14ac:dyDescent="0.2">
      <c r="A52" t="s">
        <v>1110</v>
      </c>
    </row>
    <row r="53" spans="1:1" x14ac:dyDescent="0.2">
      <c r="A53" t="s">
        <v>1111</v>
      </c>
    </row>
    <row r="54" spans="1:1" x14ac:dyDescent="0.2">
      <c r="A54" t="s">
        <v>1112</v>
      </c>
    </row>
    <row r="55" spans="1:1" x14ac:dyDescent="0.2">
      <c r="A55" t="s">
        <v>1113</v>
      </c>
    </row>
    <row r="56" spans="1:1" x14ac:dyDescent="0.2">
      <c r="A56" t="s">
        <v>1114</v>
      </c>
    </row>
    <row r="57" spans="1:1" x14ac:dyDescent="0.2">
      <c r="A57" t="s">
        <v>1115</v>
      </c>
    </row>
    <row r="59" spans="1:1" x14ac:dyDescent="0.2">
      <c r="A59" t="s">
        <v>1116</v>
      </c>
    </row>
    <row r="60" spans="1:1" x14ac:dyDescent="0.2">
      <c r="A60" t="e">
        <f>- MS Order:  Is Not MS1</f>
        <v>#NAME?</v>
      </c>
    </row>
    <row r="61" spans="1:1" x14ac:dyDescent="0.2">
      <c r="A61" t="s">
        <v>1117</v>
      </c>
    </row>
    <row r="62" spans="1:1" x14ac:dyDescent="0.2">
      <c r="A62" t="s">
        <v>1118</v>
      </c>
    </row>
    <row r="63" spans="1:1" x14ac:dyDescent="0.2">
      <c r="A63" t="e">
        <f>- Scan Type:  Is Full</f>
        <v>#NAME?</v>
      </c>
    </row>
    <row r="65" spans="1:1" x14ac:dyDescent="0.2">
      <c r="A65" t="s">
        <v>1119</v>
      </c>
    </row>
    <row r="66" spans="1:1" x14ac:dyDescent="0.2">
      <c r="A66" t="s">
        <v>1120</v>
      </c>
    </row>
    <row r="68" spans="1:1" x14ac:dyDescent="0.2">
      <c r="A68" t="s">
        <v>1121</v>
      </c>
    </row>
    <row r="69" spans="1:1" x14ac:dyDescent="0.2">
      <c r="A69" t="e">
        <f>- Unrecognized Charge Replacements:  Automatic</f>
        <v>#NAME?</v>
      </c>
    </row>
    <row r="70" spans="1:1" x14ac:dyDescent="0.2">
      <c r="A70" t="e">
        <f>- Unrecognized Mass Analyzer Replacements:  ITMS</f>
        <v>#NAME?</v>
      </c>
    </row>
    <row r="71" spans="1:1" x14ac:dyDescent="0.2">
      <c r="A71" t="e">
        <f>- Unrecognized MS Order Replacements:  MS2</f>
        <v>#NAME?</v>
      </c>
    </row>
    <row r="72" spans="1:1" x14ac:dyDescent="0.2">
      <c r="A72" t="e">
        <f>- Unrecognized Activation Type Replacements:  CID</f>
        <v>#NAME?</v>
      </c>
    </row>
    <row r="73" spans="1:1" x14ac:dyDescent="0.2">
      <c r="A73" t="s">
        <v>1122</v>
      </c>
    </row>
    <row r="74" spans="1:1" x14ac:dyDescent="0.2">
      <c r="A74" t="s">
        <v>1123</v>
      </c>
    </row>
    <row r="75" spans="1:1" x14ac:dyDescent="0.2">
      <c r="A75" t="s">
        <v>1124</v>
      </c>
    </row>
    <row r="77" spans="1:1" x14ac:dyDescent="0.2">
      <c r="A77" t="s">
        <v>1125</v>
      </c>
    </row>
    <row r="78" spans="1:1" x14ac:dyDescent="0.2">
      <c r="A78" t="s">
        <v>1126</v>
      </c>
    </row>
    <row r="79" spans="1:1" x14ac:dyDescent="0.2">
      <c r="A79" t="s">
        <v>1127</v>
      </c>
    </row>
    <row r="81" spans="1:1" x14ac:dyDescent="0.2">
      <c r="A81" t="s">
        <v>1087</v>
      </c>
    </row>
    <row r="82" spans="1:1" x14ac:dyDescent="0.2">
      <c r="A82" t="s">
        <v>1128</v>
      </c>
    </row>
    <row r="83" spans="1:1" x14ac:dyDescent="0.2">
      <c r="A83" t="s">
        <v>1087</v>
      </c>
    </row>
    <row r="84" spans="1:1" x14ac:dyDescent="0.2">
      <c r="A84" t="s">
        <v>1129</v>
      </c>
    </row>
    <row r="85" spans="1:1" x14ac:dyDescent="0.2">
      <c r="A85" t="s">
        <v>1096</v>
      </c>
    </row>
    <row r="86" spans="1:1" x14ac:dyDescent="0.2">
      <c r="A86" t="e">
        <f>- Enzyme Name:  Trypsin (Full)</f>
        <v>#NAME?</v>
      </c>
    </row>
    <row r="87" spans="1:1" x14ac:dyDescent="0.2">
      <c r="A87" t="s">
        <v>1130</v>
      </c>
    </row>
    <row r="88" spans="1:1" x14ac:dyDescent="0.2">
      <c r="A88" t="s">
        <v>1131</v>
      </c>
    </row>
    <row r="89" spans="1:1" x14ac:dyDescent="0.2">
      <c r="A89" t="s">
        <v>1132</v>
      </c>
    </row>
    <row r="90" spans="1:1" x14ac:dyDescent="0.2">
      <c r="A90" t="s">
        <v>1133</v>
      </c>
    </row>
    <row r="92" spans="1:1" x14ac:dyDescent="0.2">
      <c r="A92" t="s">
        <v>1134</v>
      </c>
    </row>
    <row r="93" spans="1:1" x14ac:dyDescent="0.2">
      <c r="A93" t="s">
        <v>1135</v>
      </c>
    </row>
    <row r="94" spans="1:1" x14ac:dyDescent="0.2">
      <c r="A94" t="s">
        <v>1136</v>
      </c>
    </row>
    <row r="95" spans="1:1" x14ac:dyDescent="0.2">
      <c r="A95" t="s">
        <v>1137</v>
      </c>
    </row>
    <row r="96" spans="1:1" x14ac:dyDescent="0.2">
      <c r="A96" t="s">
        <v>1138</v>
      </c>
    </row>
    <row r="98" spans="1:1" x14ac:dyDescent="0.2">
      <c r="A98" t="s">
        <v>1139</v>
      </c>
    </row>
    <row r="99" spans="1:1" x14ac:dyDescent="0.2">
      <c r="A99" t="s">
        <v>1140</v>
      </c>
    </row>
    <row r="100" spans="1:1" x14ac:dyDescent="0.2">
      <c r="A100" t="s">
        <v>1141</v>
      </c>
    </row>
    <row r="101" spans="1:1" x14ac:dyDescent="0.2">
      <c r="A101" t="s">
        <v>1142</v>
      </c>
    </row>
    <row r="102" spans="1:1" x14ac:dyDescent="0.2">
      <c r="A102" t="s">
        <v>1143</v>
      </c>
    </row>
    <row r="103" spans="1:1" x14ac:dyDescent="0.2">
      <c r="A103" t="s">
        <v>1144</v>
      </c>
    </row>
    <row r="104" spans="1:1" x14ac:dyDescent="0.2">
      <c r="A104" t="s">
        <v>1145</v>
      </c>
    </row>
    <row r="105" spans="1:1" x14ac:dyDescent="0.2">
      <c r="A105" t="s">
        <v>1146</v>
      </c>
    </row>
    <row r="106" spans="1:1" x14ac:dyDescent="0.2">
      <c r="A106" t="s">
        <v>1147</v>
      </c>
    </row>
    <row r="107" spans="1:1" x14ac:dyDescent="0.2">
      <c r="A107" t="s">
        <v>1148</v>
      </c>
    </row>
    <row r="108" spans="1:1" x14ac:dyDescent="0.2">
      <c r="A108" t="s">
        <v>1149</v>
      </c>
    </row>
    <row r="110" spans="1:1" x14ac:dyDescent="0.2">
      <c r="A110" t="s">
        <v>1150</v>
      </c>
    </row>
    <row r="111" spans="1:1" x14ac:dyDescent="0.2">
      <c r="A111" t="s">
        <v>1151</v>
      </c>
    </row>
    <row r="112" spans="1:1" x14ac:dyDescent="0.2">
      <c r="A112" t="s">
        <v>1152</v>
      </c>
    </row>
    <row r="113" spans="1:1" x14ac:dyDescent="0.2">
      <c r="A113" t="s">
        <v>1099</v>
      </c>
    </row>
    <row r="114" spans="1:1" x14ac:dyDescent="0.2">
      <c r="A114" t="s">
        <v>1153</v>
      </c>
    </row>
    <row r="116" spans="1:1" x14ac:dyDescent="0.2">
      <c r="A116" t="s">
        <v>1154</v>
      </c>
    </row>
    <row r="117" spans="1:1" x14ac:dyDescent="0.2">
      <c r="A117" t="s">
        <v>1155</v>
      </c>
    </row>
    <row r="118" spans="1:1" x14ac:dyDescent="0.2">
      <c r="A118" t="s">
        <v>1156</v>
      </c>
    </row>
    <row r="119" spans="1:1" x14ac:dyDescent="0.2">
      <c r="A119" t="s">
        <v>1157</v>
      </c>
    </row>
    <row r="121" spans="1:1" x14ac:dyDescent="0.2">
      <c r="A121" t="s">
        <v>1158</v>
      </c>
    </row>
    <row r="122" spans="1:1" x14ac:dyDescent="0.2">
      <c r="A122" t="s">
        <v>1100</v>
      </c>
    </row>
    <row r="124" spans="1:1" x14ac:dyDescent="0.2">
      <c r="A124" t="s">
        <v>1087</v>
      </c>
    </row>
    <row r="125" spans="1:1" x14ac:dyDescent="0.2">
      <c r="A125" t="s">
        <v>1159</v>
      </c>
    </row>
    <row r="126" spans="1:1" x14ac:dyDescent="0.2">
      <c r="A126" t="s">
        <v>1087</v>
      </c>
    </row>
    <row r="127" spans="1:1" x14ac:dyDescent="0.2">
      <c r="A127" t="s">
        <v>1160</v>
      </c>
    </row>
    <row r="128" spans="1:1" x14ac:dyDescent="0.2">
      <c r="A128" t="e">
        <f>- Target/Decoy Selection:  Concatenated</f>
        <v>#NAME?</v>
      </c>
    </row>
    <row r="129" spans="1:1" x14ac:dyDescent="0.2">
      <c r="A129" t="e">
        <f>- Validation based on:  q-Value</f>
        <v>#NAME?</v>
      </c>
    </row>
    <row r="131" spans="1:1" x14ac:dyDescent="0.2">
      <c r="A131" t="s">
        <v>1161</v>
      </c>
    </row>
    <row r="132" spans="1:1" x14ac:dyDescent="0.2">
      <c r="A132" t="s">
        <v>1162</v>
      </c>
    </row>
    <row r="133" spans="1:1" x14ac:dyDescent="0.2">
      <c r="A133" t="s">
        <v>1163</v>
      </c>
    </row>
    <row r="135" spans="1:1" x14ac:dyDescent="0.2">
      <c r="A135" t="s">
        <v>1164</v>
      </c>
    </row>
    <row r="136" spans="1:1" x14ac:dyDescent="0.2">
      <c r="A136" t="s">
        <v>1165</v>
      </c>
    </row>
    <row r="137" spans="1:1" x14ac:dyDescent="0.2">
      <c r="A137" t="s">
        <v>1166</v>
      </c>
    </row>
    <row r="139" spans="1:1" x14ac:dyDescent="0.2">
      <c r="A139" t="s">
        <v>1087</v>
      </c>
    </row>
    <row r="140" spans="1:1" x14ac:dyDescent="0.2">
      <c r="A140" t="s">
        <v>1167</v>
      </c>
    </row>
    <row r="141" spans="1:1" x14ac:dyDescent="0.2">
      <c r="A141" t="s">
        <v>1087</v>
      </c>
    </row>
    <row r="142" spans="1:1" x14ac:dyDescent="0.2">
      <c r="A142" t="s">
        <v>1168</v>
      </c>
    </row>
    <row r="143" spans="1:1" x14ac:dyDescent="0.2">
      <c r="A143" t="s">
        <v>1169</v>
      </c>
    </row>
    <row r="144" spans="1:1" x14ac:dyDescent="0.2">
      <c r="A144" t="s">
        <v>1170</v>
      </c>
    </row>
    <row r="145" spans="1:3" x14ac:dyDescent="0.2">
      <c r="A145" t="s">
        <v>1171</v>
      </c>
    </row>
    <row r="146" spans="1:3" x14ac:dyDescent="0.2">
      <c r="A146" t="s">
        <v>1172</v>
      </c>
    </row>
    <row r="147" spans="1:3" x14ac:dyDescent="0.2">
      <c r="A147" t="s">
        <v>1098</v>
      </c>
    </row>
    <row r="148" spans="1:3" x14ac:dyDescent="0.2">
      <c r="A148" t="e">
        <f>- Consider Neutral Loss peaks for CID, HCD and EThcD:  Automatic</f>
        <v>#NAME?</v>
      </c>
    </row>
    <row r="149" spans="1:3" x14ac:dyDescent="0.2">
      <c r="A149" t="s">
        <v>1173</v>
      </c>
    </row>
    <row r="150" spans="1:3" x14ac:dyDescent="0.2">
      <c r="A150" t="s">
        <v>1174</v>
      </c>
    </row>
    <row r="152" spans="1:3" x14ac:dyDescent="0.2">
      <c r="A152" t="s">
        <v>1175</v>
      </c>
    </row>
    <row r="153" spans="1:3" x14ac:dyDescent="0.2">
      <c r="A153" t="s">
        <v>1176</v>
      </c>
    </row>
    <row r="154" spans="1:3" x14ac:dyDescent="0.2">
      <c r="A154" t="s">
        <v>1177</v>
      </c>
    </row>
    <row r="157" spans="1:3" x14ac:dyDescent="0.2">
      <c r="A157" t="s">
        <v>1087</v>
      </c>
    </row>
    <row r="158" spans="1:3" x14ac:dyDescent="0.2">
      <c r="A158" t="s">
        <v>1178</v>
      </c>
    </row>
    <row r="159" spans="1:3" x14ac:dyDescent="0.2">
      <c r="A159" t="s">
        <v>1087</v>
      </c>
    </row>
    <row r="160" spans="1:3" x14ac:dyDescent="0.2">
      <c r="A160" s="5">
        <v>44880.638194444444</v>
      </c>
      <c r="B160" t="s">
        <v>1179</v>
      </c>
      <c r="C160" t="s">
        <v>1180</v>
      </c>
    </row>
    <row r="161" spans="1:3" x14ac:dyDescent="0.2">
      <c r="A161" s="5">
        <v>44880.638194444444</v>
      </c>
      <c r="B161" t="s">
        <v>1181</v>
      </c>
      <c r="C161" t="s">
        <v>1182</v>
      </c>
    </row>
    <row r="162" spans="1:3" x14ac:dyDescent="0.2">
      <c r="A162" s="5">
        <v>44880.63958333333</v>
      </c>
      <c r="B162" t="s">
        <v>1181</v>
      </c>
      <c r="C162" t="s">
        <v>1183</v>
      </c>
    </row>
    <row r="163" spans="1:3" x14ac:dyDescent="0.2">
      <c r="A163" s="5">
        <v>44880.63958333333</v>
      </c>
      <c r="B163" t="s">
        <v>1181</v>
      </c>
      <c r="C163" t="s">
        <v>1184</v>
      </c>
    </row>
    <row r="164" spans="1:3" x14ac:dyDescent="0.2">
      <c r="A164" s="5">
        <v>44880.63958333333</v>
      </c>
      <c r="B164" t="s">
        <v>1181</v>
      </c>
      <c r="C164" t="s">
        <v>1185</v>
      </c>
    </row>
    <row r="165" spans="1:3" x14ac:dyDescent="0.2">
      <c r="A165" s="5">
        <v>44880.63958333333</v>
      </c>
      <c r="B165" t="s">
        <v>1181</v>
      </c>
      <c r="C165" t="s">
        <v>1186</v>
      </c>
    </row>
    <row r="166" spans="1:3" x14ac:dyDescent="0.2">
      <c r="A166" s="5">
        <v>44880.63958333333</v>
      </c>
      <c r="B166" t="s">
        <v>1181</v>
      </c>
      <c r="C166" t="s">
        <v>1187</v>
      </c>
    </row>
    <row r="167" spans="1:3" x14ac:dyDescent="0.2">
      <c r="A167" s="5">
        <v>44880.63958333333</v>
      </c>
      <c r="B167" t="s">
        <v>1181</v>
      </c>
      <c r="C167" t="s">
        <v>1188</v>
      </c>
    </row>
    <row r="168" spans="1:3" x14ac:dyDescent="0.2">
      <c r="A168" s="5">
        <v>44880.63958333333</v>
      </c>
      <c r="B168" t="s">
        <v>1181</v>
      </c>
      <c r="C168" t="s">
        <v>1189</v>
      </c>
    </row>
    <row r="169" spans="1:3" x14ac:dyDescent="0.2">
      <c r="A169" s="5">
        <v>44880.63958333333</v>
      </c>
      <c r="B169" t="s">
        <v>1181</v>
      </c>
      <c r="C169" t="s">
        <v>1190</v>
      </c>
    </row>
    <row r="170" spans="1:3" x14ac:dyDescent="0.2">
      <c r="A170" s="5">
        <v>44880.640277777777</v>
      </c>
      <c r="B170" t="s">
        <v>1181</v>
      </c>
      <c r="C170" t="s">
        <v>1191</v>
      </c>
    </row>
    <row r="171" spans="1:3" x14ac:dyDescent="0.2">
      <c r="A171" s="5">
        <v>44880.640277777777</v>
      </c>
      <c r="B171" t="s">
        <v>1181</v>
      </c>
      <c r="C171" t="s">
        <v>1192</v>
      </c>
    </row>
    <row r="172" spans="1:3" x14ac:dyDescent="0.2">
      <c r="A172" s="5">
        <v>44880.640277777777</v>
      </c>
      <c r="B172" t="s">
        <v>1181</v>
      </c>
      <c r="C172" t="s">
        <v>1193</v>
      </c>
    </row>
    <row r="173" spans="1:3" x14ac:dyDescent="0.2">
      <c r="A173" s="5">
        <v>44880.640277777777</v>
      </c>
      <c r="B173" t="s">
        <v>1181</v>
      </c>
      <c r="C173" t="s">
        <v>1194</v>
      </c>
    </row>
    <row r="174" spans="1:3" x14ac:dyDescent="0.2">
      <c r="A174" s="5">
        <v>44880.640277777777</v>
      </c>
      <c r="B174" t="s">
        <v>1181</v>
      </c>
      <c r="C174" t="s">
        <v>1195</v>
      </c>
    </row>
    <row r="175" spans="1:3" x14ac:dyDescent="0.2">
      <c r="A175" s="5">
        <v>44880.640277777777</v>
      </c>
      <c r="B175" t="s">
        <v>1181</v>
      </c>
      <c r="C175" t="s">
        <v>1196</v>
      </c>
    </row>
    <row r="176" spans="1:3" x14ac:dyDescent="0.2">
      <c r="A176" s="5">
        <v>44880.640277777777</v>
      </c>
      <c r="B176" t="s">
        <v>1197</v>
      </c>
      <c r="C176" t="s">
        <v>1198</v>
      </c>
    </row>
    <row r="177" spans="1:3" x14ac:dyDescent="0.2">
      <c r="A177" s="5">
        <v>44880.640277777777</v>
      </c>
      <c r="B177" t="s">
        <v>1197</v>
      </c>
      <c r="C177" t="s">
        <v>1199</v>
      </c>
    </row>
    <row r="178" spans="1:3" x14ac:dyDescent="0.2">
      <c r="A178" s="5">
        <v>44880.640277777777</v>
      </c>
      <c r="B178" t="s">
        <v>1200</v>
      </c>
      <c r="C178" t="s">
        <v>1201</v>
      </c>
    </row>
    <row r="179" spans="1:3" x14ac:dyDescent="0.2">
      <c r="A179" s="5">
        <v>44880.640277777777</v>
      </c>
      <c r="B179" t="s">
        <v>1200</v>
      </c>
      <c r="C179" t="s">
        <v>1202</v>
      </c>
    </row>
    <row r="180" spans="1:3" x14ac:dyDescent="0.2">
      <c r="A180" s="5">
        <v>44880.642361111109</v>
      </c>
      <c r="B180" t="s">
        <v>1197</v>
      </c>
      <c r="C180" t="s">
        <v>1203</v>
      </c>
    </row>
    <row r="181" spans="1:3" x14ac:dyDescent="0.2">
      <c r="A181" s="5">
        <v>44880.642361111109</v>
      </c>
      <c r="B181" t="s">
        <v>1197</v>
      </c>
      <c r="C181" t="s">
        <v>1204</v>
      </c>
    </row>
    <row r="182" spans="1:3" x14ac:dyDescent="0.2">
      <c r="A182" s="5">
        <v>44880.642361111109</v>
      </c>
      <c r="B182" t="s">
        <v>1197</v>
      </c>
      <c r="C182" t="s">
        <v>1205</v>
      </c>
    </row>
    <row r="183" spans="1:3" x14ac:dyDescent="0.2">
      <c r="A183" s="5">
        <v>44880.642361111109</v>
      </c>
      <c r="B183" t="s">
        <v>1197</v>
      </c>
      <c r="C183" t="s">
        <v>1206</v>
      </c>
    </row>
    <row r="184" spans="1:3" x14ac:dyDescent="0.2">
      <c r="A184" s="5">
        <v>44880.642361111109</v>
      </c>
      <c r="B184" t="s">
        <v>1200</v>
      </c>
      <c r="C184" t="s">
        <v>1207</v>
      </c>
    </row>
    <row r="185" spans="1:3" x14ac:dyDescent="0.2">
      <c r="A185" s="5">
        <v>44880.642361111109</v>
      </c>
      <c r="B185" t="s">
        <v>1200</v>
      </c>
      <c r="C185" t="s">
        <v>1184</v>
      </c>
    </row>
    <row r="186" spans="1:3" x14ac:dyDescent="0.2">
      <c r="A186" s="5">
        <v>44880.642361111109</v>
      </c>
      <c r="B186" t="s">
        <v>1200</v>
      </c>
      <c r="C186" t="s">
        <v>1185</v>
      </c>
    </row>
    <row r="187" spans="1:3" x14ac:dyDescent="0.2">
      <c r="A187" s="5">
        <v>44880.642361111109</v>
      </c>
      <c r="B187" t="s">
        <v>1200</v>
      </c>
      <c r="C187" t="s">
        <v>1208</v>
      </c>
    </row>
    <row r="188" spans="1:3" x14ac:dyDescent="0.2">
      <c r="A188" s="5">
        <v>44880.642361111109</v>
      </c>
      <c r="B188" t="s">
        <v>1200</v>
      </c>
      <c r="C188" t="s">
        <v>1209</v>
      </c>
    </row>
    <row r="189" spans="1:3" x14ac:dyDescent="0.2">
      <c r="A189" s="5">
        <v>44880.642361111109</v>
      </c>
      <c r="B189" t="s">
        <v>1200</v>
      </c>
      <c r="C189" t="s">
        <v>1188</v>
      </c>
    </row>
    <row r="190" spans="1:3" x14ac:dyDescent="0.2">
      <c r="A190" s="5">
        <v>44880.642361111109</v>
      </c>
      <c r="B190" t="s">
        <v>1200</v>
      </c>
      <c r="C190" t="s">
        <v>1189</v>
      </c>
    </row>
    <row r="191" spans="1:3" x14ac:dyDescent="0.2">
      <c r="A191" s="5">
        <v>44880.642361111109</v>
      </c>
      <c r="B191" t="s">
        <v>1200</v>
      </c>
      <c r="C191" t="s">
        <v>1190</v>
      </c>
    </row>
    <row r="192" spans="1:3" x14ac:dyDescent="0.2">
      <c r="A192" s="5">
        <v>44880.643055555556</v>
      </c>
      <c r="B192" t="s">
        <v>1200</v>
      </c>
      <c r="C192" t="s">
        <v>1210</v>
      </c>
    </row>
    <row r="193" spans="1:3" x14ac:dyDescent="0.2">
      <c r="A193" s="5">
        <v>44880.643055555556</v>
      </c>
      <c r="B193" t="s">
        <v>1200</v>
      </c>
      <c r="C193" t="s">
        <v>1211</v>
      </c>
    </row>
    <row r="194" spans="1:3" x14ac:dyDescent="0.2">
      <c r="A194" s="5">
        <v>44880.643055555556</v>
      </c>
      <c r="B194" t="s">
        <v>1200</v>
      </c>
      <c r="C194" t="s">
        <v>1212</v>
      </c>
    </row>
    <row r="195" spans="1:3" x14ac:dyDescent="0.2">
      <c r="A195" s="5">
        <v>44880.643055555556</v>
      </c>
      <c r="B195" t="s">
        <v>1200</v>
      </c>
      <c r="C195" t="s">
        <v>1213</v>
      </c>
    </row>
    <row r="196" spans="1:3" x14ac:dyDescent="0.2">
      <c r="A196" s="5">
        <v>44880.643055555556</v>
      </c>
      <c r="B196" t="s">
        <v>1200</v>
      </c>
      <c r="C196" t="s">
        <v>1214</v>
      </c>
    </row>
    <row r="197" spans="1:3" x14ac:dyDescent="0.2">
      <c r="A197" s="5">
        <v>44880.643055555556</v>
      </c>
      <c r="B197" t="s">
        <v>1200</v>
      </c>
      <c r="C197" t="s">
        <v>1215</v>
      </c>
    </row>
    <row r="198" spans="1:3" x14ac:dyDescent="0.2">
      <c r="A198" s="5">
        <v>44880.643055555556</v>
      </c>
      <c r="B198" t="s">
        <v>1200</v>
      </c>
      <c r="C198" t="s">
        <v>1216</v>
      </c>
    </row>
    <row r="199" spans="1:3" x14ac:dyDescent="0.2">
      <c r="A199" s="5">
        <v>44880.643055555556</v>
      </c>
      <c r="B199" t="s">
        <v>1200</v>
      </c>
      <c r="C199" t="s">
        <v>1217</v>
      </c>
    </row>
    <row r="200" spans="1:3" x14ac:dyDescent="0.2">
      <c r="A200" s="5">
        <v>44880.643055555556</v>
      </c>
      <c r="B200" t="s">
        <v>1200</v>
      </c>
      <c r="C200" t="s">
        <v>1218</v>
      </c>
    </row>
    <row r="201" spans="1:3" x14ac:dyDescent="0.2">
      <c r="A201" s="5">
        <v>44880.643055555556</v>
      </c>
      <c r="B201" t="s">
        <v>1200</v>
      </c>
      <c r="C201" t="s">
        <v>1219</v>
      </c>
    </row>
    <row r="202" spans="1:3" x14ac:dyDescent="0.2">
      <c r="A202" s="5">
        <v>44880.643055555556</v>
      </c>
      <c r="B202" t="s">
        <v>1200</v>
      </c>
      <c r="C202" t="s">
        <v>1220</v>
      </c>
    </row>
    <row r="203" spans="1:3" x14ac:dyDescent="0.2">
      <c r="A203" s="5">
        <v>44880.643055555556</v>
      </c>
      <c r="B203" t="s">
        <v>1200</v>
      </c>
      <c r="C203" t="s">
        <v>1221</v>
      </c>
    </row>
    <row r="204" spans="1:3" x14ac:dyDescent="0.2">
      <c r="A204" s="5">
        <v>44880.643055555556</v>
      </c>
      <c r="B204" t="s">
        <v>1200</v>
      </c>
      <c r="C204" t="s">
        <v>1188</v>
      </c>
    </row>
    <row r="205" spans="1:3" x14ac:dyDescent="0.2">
      <c r="A205" s="5">
        <v>44880.643055555556</v>
      </c>
      <c r="B205" t="s">
        <v>1200</v>
      </c>
      <c r="C205" t="s">
        <v>1189</v>
      </c>
    </row>
    <row r="206" spans="1:3" x14ac:dyDescent="0.2">
      <c r="A206" s="5">
        <v>44880.643055555556</v>
      </c>
      <c r="B206" t="s">
        <v>1200</v>
      </c>
      <c r="C206" t="s">
        <v>1190</v>
      </c>
    </row>
    <row r="207" spans="1:3" x14ac:dyDescent="0.2">
      <c r="A207" s="5">
        <v>44880.643750000003</v>
      </c>
      <c r="B207" t="s">
        <v>1200</v>
      </c>
      <c r="C207" t="s">
        <v>1222</v>
      </c>
    </row>
    <row r="208" spans="1:3" x14ac:dyDescent="0.2">
      <c r="A208" s="5">
        <v>44880.643750000003</v>
      </c>
      <c r="B208" t="s">
        <v>1200</v>
      </c>
      <c r="C208" t="s">
        <v>1223</v>
      </c>
    </row>
    <row r="209" spans="1:3" x14ac:dyDescent="0.2">
      <c r="A209" s="5">
        <v>44880.644444444442</v>
      </c>
      <c r="B209" t="s">
        <v>1200</v>
      </c>
      <c r="C209" t="s">
        <v>1224</v>
      </c>
    </row>
    <row r="210" spans="1:3" x14ac:dyDescent="0.2">
      <c r="A210" s="5">
        <v>44880.644444444442</v>
      </c>
      <c r="B210" t="s">
        <v>1200</v>
      </c>
      <c r="C210" t="s">
        <v>1225</v>
      </c>
    </row>
    <row r="211" spans="1:3" x14ac:dyDescent="0.2">
      <c r="A211" s="5">
        <v>44880.644444444442</v>
      </c>
      <c r="B211" t="s">
        <v>1200</v>
      </c>
      <c r="C211" t="s">
        <v>1226</v>
      </c>
    </row>
    <row r="212" spans="1:3" x14ac:dyDescent="0.2">
      <c r="A212" s="5">
        <v>44880.644444444442</v>
      </c>
      <c r="B212" t="s">
        <v>1200</v>
      </c>
      <c r="C212" t="s">
        <v>1227</v>
      </c>
    </row>
    <row r="213" spans="1:3" x14ac:dyDescent="0.2">
      <c r="A213" s="5">
        <v>44880.644444444442</v>
      </c>
      <c r="B213" t="s">
        <v>1200</v>
      </c>
      <c r="C213" t="s">
        <v>1228</v>
      </c>
    </row>
    <row r="214" spans="1:3" x14ac:dyDescent="0.2">
      <c r="A214" s="5">
        <v>44880.644444444442</v>
      </c>
      <c r="B214" t="s">
        <v>1200</v>
      </c>
      <c r="C214" t="s">
        <v>1229</v>
      </c>
    </row>
    <row r="215" spans="1:3" x14ac:dyDescent="0.2">
      <c r="A215" s="5">
        <v>44880.644444444442</v>
      </c>
      <c r="B215" t="s">
        <v>1200</v>
      </c>
      <c r="C215" t="s">
        <v>1230</v>
      </c>
    </row>
    <row r="216" spans="1:3" x14ac:dyDescent="0.2">
      <c r="A216" s="5">
        <v>44880.646527777775</v>
      </c>
      <c r="B216" t="s">
        <v>1200</v>
      </c>
      <c r="C216" t="s">
        <v>1231</v>
      </c>
    </row>
    <row r="217" spans="1:3" x14ac:dyDescent="0.2">
      <c r="A217" s="5">
        <v>44880.647916666669</v>
      </c>
      <c r="B217" t="s">
        <v>1232</v>
      </c>
      <c r="C217" t="s">
        <v>1233</v>
      </c>
    </row>
    <row r="218" spans="1:3" x14ac:dyDescent="0.2">
      <c r="A218" s="5">
        <v>44880.647916666669</v>
      </c>
      <c r="B218" t="s">
        <v>1232</v>
      </c>
      <c r="C218" t="s">
        <v>1234</v>
      </c>
    </row>
    <row r="219" spans="1:3" x14ac:dyDescent="0.2">
      <c r="A219" s="5">
        <v>44880.647916666669</v>
      </c>
      <c r="B219" t="s">
        <v>1232</v>
      </c>
      <c r="C219" t="s">
        <v>1235</v>
      </c>
    </row>
    <row r="220" spans="1:3" x14ac:dyDescent="0.2">
      <c r="A220" s="5">
        <v>44880.647916666669</v>
      </c>
      <c r="B220" t="s">
        <v>1232</v>
      </c>
      <c r="C220" t="s">
        <v>1236</v>
      </c>
    </row>
    <row r="221" spans="1:3" x14ac:dyDescent="0.2">
      <c r="A221" s="5">
        <v>44880.647916666669</v>
      </c>
      <c r="B221" t="s">
        <v>1232</v>
      </c>
      <c r="C221" t="s">
        <v>1237</v>
      </c>
    </row>
    <row r="222" spans="1:3" x14ac:dyDescent="0.2">
      <c r="A222" s="5">
        <v>44880.647916666669</v>
      </c>
      <c r="B222" t="s">
        <v>1232</v>
      </c>
      <c r="C222" t="s">
        <v>1238</v>
      </c>
    </row>
    <row r="223" spans="1:3" x14ac:dyDescent="0.2">
      <c r="A223" s="5">
        <v>44880.647916666669</v>
      </c>
      <c r="B223" t="s">
        <v>1232</v>
      </c>
      <c r="C223" t="s">
        <v>1239</v>
      </c>
    </row>
    <row r="224" spans="1:3" x14ac:dyDescent="0.2">
      <c r="A224" s="5">
        <v>44880.647916666669</v>
      </c>
      <c r="B224" t="s">
        <v>1232</v>
      </c>
      <c r="C224" t="s">
        <v>1240</v>
      </c>
    </row>
    <row r="225" spans="1:4" x14ac:dyDescent="0.2">
      <c r="A225" s="5">
        <v>44880.647916666669</v>
      </c>
      <c r="B225" t="s">
        <v>1232</v>
      </c>
      <c r="C225" t="s">
        <v>1241</v>
      </c>
    </row>
    <row r="226" spans="1:4" x14ac:dyDescent="0.2">
      <c r="A226" s="5">
        <v>44880.647916666669</v>
      </c>
      <c r="B226" t="s">
        <v>1232</v>
      </c>
      <c r="C226" t="s">
        <v>1242</v>
      </c>
    </row>
    <row r="227" spans="1:4" x14ac:dyDescent="0.2">
      <c r="A227" s="5">
        <v>44880.647916666669</v>
      </c>
      <c r="B227" t="s">
        <v>1232</v>
      </c>
      <c r="C227" t="s">
        <v>1243</v>
      </c>
    </row>
    <row r="228" spans="1:4" x14ac:dyDescent="0.2">
      <c r="A228" s="5">
        <v>44880.647916666669</v>
      </c>
      <c r="B228" t="s">
        <v>1232</v>
      </c>
      <c r="C228" t="s">
        <v>1244</v>
      </c>
    </row>
    <row r="229" spans="1:4" x14ac:dyDescent="0.2">
      <c r="A229" s="5">
        <v>44880.647916666669</v>
      </c>
      <c r="B229" t="s">
        <v>1232</v>
      </c>
      <c r="C229" t="s">
        <v>1245</v>
      </c>
    </row>
    <row r="230" spans="1:4" x14ac:dyDescent="0.2">
      <c r="A230" s="5">
        <v>44880.647916666669</v>
      </c>
      <c r="B230" t="s">
        <v>1232</v>
      </c>
      <c r="C230" t="s">
        <v>1246</v>
      </c>
    </row>
    <row r="231" spans="1:4" x14ac:dyDescent="0.2">
      <c r="A231" s="5">
        <v>44880.647916666669</v>
      </c>
      <c r="B231" t="s">
        <v>1232</v>
      </c>
      <c r="C231" t="s">
        <v>1247</v>
      </c>
    </row>
    <row r="232" spans="1:4" x14ac:dyDescent="0.2">
      <c r="A232" s="5">
        <v>44880.647916666669</v>
      </c>
      <c r="B232" t="s">
        <v>1232</v>
      </c>
      <c r="C232" t="s">
        <v>1248</v>
      </c>
    </row>
    <row r="233" spans="1:4" x14ac:dyDescent="0.2">
      <c r="A233" s="5">
        <v>44880.647916666669</v>
      </c>
      <c r="B233" t="s">
        <v>1232</v>
      </c>
      <c r="C233" t="s">
        <v>1249</v>
      </c>
    </row>
    <row r="234" spans="1:4" x14ac:dyDescent="0.2">
      <c r="A234" s="5">
        <v>44880.647916666669</v>
      </c>
      <c r="B234" t="s">
        <v>1232</v>
      </c>
      <c r="C234" t="s">
        <v>1250</v>
      </c>
    </row>
    <row r="235" spans="1:4" x14ac:dyDescent="0.2">
      <c r="A235" s="5">
        <v>44880.647916666669</v>
      </c>
      <c r="B235" t="s">
        <v>1232</v>
      </c>
      <c r="C235" t="s">
        <v>1251</v>
      </c>
    </row>
    <row r="236" spans="1:4" x14ac:dyDescent="0.2">
      <c r="A236" s="5">
        <v>44880.647916666669</v>
      </c>
      <c r="B236" t="s">
        <v>1232</v>
      </c>
      <c r="C236" t="s">
        <v>1252</v>
      </c>
      <c r="D236" t="s">
        <v>1253</v>
      </c>
    </row>
    <row r="237" spans="1:4" x14ac:dyDescent="0.2">
      <c r="A237" s="5">
        <v>44880.647916666669</v>
      </c>
      <c r="B237" t="s">
        <v>1232</v>
      </c>
      <c r="C237" t="s">
        <v>1254</v>
      </c>
      <c r="D237" t="s">
        <v>1255</v>
      </c>
    </row>
    <row r="238" spans="1:4" x14ac:dyDescent="0.2">
      <c r="A238" s="5">
        <v>44880.647916666669</v>
      </c>
      <c r="B238" t="s">
        <v>1232</v>
      </c>
      <c r="C238" t="s">
        <v>1256</v>
      </c>
      <c r="D238" t="s">
        <v>1257</v>
      </c>
    </row>
    <row r="239" spans="1:4" x14ac:dyDescent="0.2">
      <c r="A239" s="5">
        <v>44880.647916666669</v>
      </c>
      <c r="B239" t="s">
        <v>1232</v>
      </c>
      <c r="C239" t="s">
        <v>1258</v>
      </c>
    </row>
    <row r="240" spans="1:4" x14ac:dyDescent="0.2">
      <c r="A240" s="5">
        <v>44880.647916666669</v>
      </c>
      <c r="B240" t="s">
        <v>1232</v>
      </c>
      <c r="C240" t="s">
        <v>1259</v>
      </c>
    </row>
    <row r="241" spans="1:6" x14ac:dyDescent="0.2">
      <c r="A241" s="5">
        <v>44880.647916666669</v>
      </c>
      <c r="B241" t="s">
        <v>1232</v>
      </c>
      <c r="C241" t="s">
        <v>1260</v>
      </c>
    </row>
    <row r="242" spans="1:6" x14ac:dyDescent="0.2">
      <c r="A242" s="5">
        <v>44880.647916666669</v>
      </c>
      <c r="B242" t="s">
        <v>1232</v>
      </c>
      <c r="C242" t="s">
        <v>1261</v>
      </c>
      <c r="D242" t="s">
        <v>1262</v>
      </c>
    </row>
    <row r="243" spans="1:6" x14ac:dyDescent="0.2">
      <c r="A243" s="5">
        <v>44880.647916666669</v>
      </c>
      <c r="B243" t="s">
        <v>1232</v>
      </c>
      <c r="C243" t="s">
        <v>1263</v>
      </c>
      <c r="D243" t="s">
        <v>1264</v>
      </c>
    </row>
    <row r="244" spans="1:6" x14ac:dyDescent="0.2">
      <c r="A244" s="5">
        <v>44880.647916666669</v>
      </c>
      <c r="B244" t="s">
        <v>1232</v>
      </c>
      <c r="C244" t="s">
        <v>1265</v>
      </c>
      <c r="D244" t="s">
        <v>1266</v>
      </c>
    </row>
    <row r="245" spans="1:6" x14ac:dyDescent="0.2">
      <c r="A245" s="5">
        <v>44880.647916666669</v>
      </c>
      <c r="B245" t="s">
        <v>1232</v>
      </c>
      <c r="C245" t="s">
        <v>1267</v>
      </c>
      <c r="D245" t="s">
        <v>1268</v>
      </c>
    </row>
    <row r="246" spans="1:6" x14ac:dyDescent="0.2">
      <c r="A246" s="5">
        <v>44880.648611111108</v>
      </c>
      <c r="B246" t="s">
        <v>1232</v>
      </c>
      <c r="C246" t="s">
        <v>1269</v>
      </c>
      <c r="D246" t="s">
        <v>1270</v>
      </c>
    </row>
    <row r="247" spans="1:6" x14ac:dyDescent="0.2">
      <c r="A247" s="5">
        <v>44880.648611111108</v>
      </c>
      <c r="B247" t="s">
        <v>1232</v>
      </c>
      <c r="C247" t="s">
        <v>1271</v>
      </c>
      <c r="D247" t="s">
        <v>1272</v>
      </c>
    </row>
    <row r="248" spans="1:6" x14ac:dyDescent="0.2">
      <c r="A248" s="5">
        <v>44880.648611111108</v>
      </c>
      <c r="B248" t="s">
        <v>1232</v>
      </c>
      <c r="C248" t="s">
        <v>1273</v>
      </c>
      <c r="D248" t="s">
        <v>1274</v>
      </c>
    </row>
    <row r="249" spans="1:6" x14ac:dyDescent="0.2">
      <c r="A249" s="5">
        <v>44880.648611111108</v>
      </c>
      <c r="B249" t="s">
        <v>1232</v>
      </c>
      <c r="C249" t="s">
        <v>1275</v>
      </c>
      <c r="D249" t="s">
        <v>1276</v>
      </c>
    </row>
    <row r="250" spans="1:6" x14ac:dyDescent="0.2">
      <c r="A250" s="5">
        <v>44880.648611111108</v>
      </c>
      <c r="B250" t="s">
        <v>1232</v>
      </c>
      <c r="C250" t="s">
        <v>1277</v>
      </c>
      <c r="D250" t="s">
        <v>1278</v>
      </c>
    </row>
    <row r="251" spans="1:6" x14ac:dyDescent="0.2">
      <c r="A251" s="5">
        <v>44880.648611111108</v>
      </c>
      <c r="B251" t="s">
        <v>1232</v>
      </c>
      <c r="C251" t="s">
        <v>1279</v>
      </c>
      <c r="D251" t="s">
        <v>1280</v>
      </c>
    </row>
    <row r="252" spans="1:6" x14ac:dyDescent="0.2">
      <c r="A252" s="5">
        <v>44880.648611111108</v>
      </c>
      <c r="B252" t="s">
        <v>1232</v>
      </c>
      <c r="C252" t="s">
        <v>1281</v>
      </c>
    </row>
    <row r="253" spans="1:6" x14ac:dyDescent="0.2">
      <c r="A253" s="5">
        <v>44880.648611111108</v>
      </c>
      <c r="B253" t="s">
        <v>1232</v>
      </c>
      <c r="C253" t="s">
        <v>1282</v>
      </c>
      <c r="D253" t="s">
        <v>1283</v>
      </c>
      <c r="E253" t="s">
        <v>1284</v>
      </c>
      <c r="F253" t="s">
        <v>1285</v>
      </c>
    </row>
    <row r="254" spans="1:6" x14ac:dyDescent="0.2">
      <c r="A254" s="5">
        <v>44880.648611111108</v>
      </c>
      <c r="B254" t="s">
        <v>1232</v>
      </c>
      <c r="C254">
        <v>0.34510000000000002</v>
      </c>
      <c r="D254">
        <v>-0.38879999999999998</v>
      </c>
      <c r="E254">
        <v>1.7000000000000001E-2</v>
      </c>
      <c r="F254" t="s">
        <v>1286</v>
      </c>
    </row>
    <row r="255" spans="1:6" x14ac:dyDescent="0.2">
      <c r="A255" s="5">
        <v>44880.648611111108</v>
      </c>
      <c r="B255" t="s">
        <v>1232</v>
      </c>
      <c r="C255">
        <v>0.37140000000000001</v>
      </c>
      <c r="D255">
        <v>0.44669999999999999</v>
      </c>
      <c r="E255">
        <v>0.50319999999999998</v>
      </c>
      <c r="F255" t="s">
        <v>1287</v>
      </c>
    </row>
    <row r="256" spans="1:6" x14ac:dyDescent="0.2">
      <c r="A256" s="5">
        <v>44880.648611111108</v>
      </c>
      <c r="B256" t="s">
        <v>1232</v>
      </c>
      <c r="C256">
        <v>1.1556</v>
      </c>
      <c r="D256">
        <v>1.4824999999999999</v>
      </c>
      <c r="E256">
        <v>0.621</v>
      </c>
      <c r="F256" t="s">
        <v>1288</v>
      </c>
    </row>
    <row r="257" spans="1:6" x14ac:dyDescent="0.2">
      <c r="A257" s="5">
        <v>44880.648611111108</v>
      </c>
      <c r="B257" t="s">
        <v>1232</v>
      </c>
      <c r="C257">
        <v>-0.41360000000000002</v>
      </c>
      <c r="D257">
        <v>-0.69550000000000001</v>
      </c>
      <c r="E257">
        <v>-0.2321</v>
      </c>
      <c r="F257" t="s">
        <v>1289</v>
      </c>
    </row>
    <row r="258" spans="1:6" x14ac:dyDescent="0.2">
      <c r="A258" s="5">
        <v>44880.648611111108</v>
      </c>
      <c r="B258" t="s">
        <v>1232</v>
      </c>
      <c r="C258">
        <v>-3.4133</v>
      </c>
      <c r="D258">
        <v>-2.3744000000000001</v>
      </c>
      <c r="E258">
        <v>-2.0194000000000001</v>
      </c>
      <c r="F258" t="s">
        <v>1290</v>
      </c>
    </row>
    <row r="259" spans="1:6" x14ac:dyDescent="0.2">
      <c r="A259" s="5">
        <v>44880.648611111108</v>
      </c>
      <c r="B259" t="s">
        <v>1232</v>
      </c>
      <c r="C259">
        <v>-1.4229000000000001</v>
      </c>
      <c r="D259">
        <v>-0.41370000000000001</v>
      </c>
      <c r="E259">
        <v>-2.0621999999999998</v>
      </c>
      <c r="F259" t="s">
        <v>1291</v>
      </c>
    </row>
    <row r="260" spans="1:6" x14ac:dyDescent="0.2">
      <c r="A260" s="5">
        <v>44880.648611111108</v>
      </c>
      <c r="B260" t="s">
        <v>1232</v>
      </c>
      <c r="C260">
        <v>0.40129999999999999</v>
      </c>
      <c r="D260">
        <v>-0.75760000000000005</v>
      </c>
      <c r="E260">
        <v>1.2060999999999999</v>
      </c>
      <c r="F260" t="s">
        <v>1292</v>
      </c>
    </row>
    <row r="261" spans="1:6" x14ac:dyDescent="0.2">
      <c r="A261" s="5">
        <v>44880.648611111108</v>
      </c>
      <c r="B261" t="s">
        <v>1232</v>
      </c>
      <c r="C261">
        <v>-2.5522999999999998</v>
      </c>
      <c r="D261">
        <v>-1.7965</v>
      </c>
      <c r="E261">
        <v>0.42099999999999999</v>
      </c>
      <c r="F261" t="s">
        <v>1293</v>
      </c>
    </row>
    <row r="262" spans="1:6" x14ac:dyDescent="0.2">
      <c r="A262" s="5">
        <v>44880.648611111108</v>
      </c>
      <c r="B262" t="s">
        <v>1232</v>
      </c>
      <c r="C262">
        <v>0.42749999999999999</v>
      </c>
      <c r="D262">
        <v>-1.5422</v>
      </c>
      <c r="E262">
        <v>-2.0808</v>
      </c>
      <c r="F262" t="s">
        <v>1294</v>
      </c>
    </row>
    <row r="263" spans="1:6" x14ac:dyDescent="0.2">
      <c r="A263" s="5">
        <v>44880.648611111108</v>
      </c>
      <c r="B263" t="s">
        <v>1232</v>
      </c>
      <c r="C263">
        <v>0.83620000000000005</v>
      </c>
      <c r="D263">
        <v>0.97729999999999995</v>
      </c>
      <c r="E263">
        <v>1.4802</v>
      </c>
      <c r="F263" t="s">
        <v>1295</v>
      </c>
    </row>
    <row r="264" spans="1:6" x14ac:dyDescent="0.2">
      <c r="A264" s="5">
        <v>44880.648611111108</v>
      </c>
      <c r="B264" t="s">
        <v>1232</v>
      </c>
      <c r="C264">
        <v>0</v>
      </c>
      <c r="D264">
        <v>0</v>
      </c>
      <c r="E264">
        <v>0</v>
      </c>
      <c r="F264" t="s">
        <v>1296</v>
      </c>
    </row>
    <row r="265" spans="1:6" x14ac:dyDescent="0.2">
      <c r="A265" s="5">
        <v>44880.648611111108</v>
      </c>
      <c r="B265" t="s">
        <v>1232</v>
      </c>
      <c r="C265">
        <v>-0.61429999999999996</v>
      </c>
      <c r="D265">
        <v>-0.1236</v>
      </c>
      <c r="E265">
        <v>-0.50749999999999995</v>
      </c>
      <c r="F265" t="s">
        <v>1297</v>
      </c>
    </row>
    <row r="266" spans="1:6" x14ac:dyDescent="0.2">
      <c r="A266" s="5">
        <v>44880.648611111108</v>
      </c>
      <c r="B266" t="s">
        <v>1232</v>
      </c>
      <c r="C266">
        <v>0.43440000000000001</v>
      </c>
      <c r="D266">
        <v>4.19E-2</v>
      </c>
      <c r="E266">
        <v>0.39739999999999998</v>
      </c>
      <c r="F266" t="s">
        <v>1298</v>
      </c>
    </row>
    <row r="267" spans="1:6" x14ac:dyDescent="0.2">
      <c r="A267" s="5">
        <v>44880.648611111108</v>
      </c>
      <c r="B267" t="s">
        <v>1232</v>
      </c>
      <c r="C267">
        <v>0.66539999999999999</v>
      </c>
      <c r="D267">
        <v>0.27510000000000001</v>
      </c>
      <c r="E267">
        <v>0.4113</v>
      </c>
      <c r="F267" t="s">
        <v>1299</v>
      </c>
    </row>
    <row r="268" spans="1:6" x14ac:dyDescent="0.2">
      <c r="A268" s="5">
        <v>44880.648611111108</v>
      </c>
      <c r="B268" t="s">
        <v>1232</v>
      </c>
      <c r="C268">
        <v>0.2646</v>
      </c>
      <c r="D268">
        <v>0.1961</v>
      </c>
      <c r="E268">
        <v>0.1825</v>
      </c>
      <c r="F268" t="s">
        <v>1300</v>
      </c>
    </row>
    <row r="269" spans="1:6" x14ac:dyDescent="0.2">
      <c r="A269" s="5">
        <v>44880.648611111108</v>
      </c>
      <c r="B269" t="s">
        <v>1232</v>
      </c>
      <c r="C269">
        <v>5.1700000000000003E-2</v>
      </c>
      <c r="D269">
        <v>5.4300000000000001E-2</v>
      </c>
      <c r="E269">
        <v>5.2299999999999999E-2</v>
      </c>
      <c r="F269" t="s">
        <v>1301</v>
      </c>
    </row>
    <row r="270" spans="1:6" x14ac:dyDescent="0.2">
      <c r="A270" s="5">
        <v>44880.648611111108</v>
      </c>
      <c r="B270" t="s">
        <v>1232</v>
      </c>
      <c r="C270">
        <v>-1.9297</v>
      </c>
      <c r="D270">
        <v>-1.2843</v>
      </c>
      <c r="E270">
        <v>-1.7502</v>
      </c>
      <c r="F270" t="s">
        <v>44</v>
      </c>
    </row>
    <row r="271" spans="1:6" x14ac:dyDescent="0.2">
      <c r="A271" s="5">
        <v>44880.648611111108</v>
      </c>
      <c r="B271" t="s">
        <v>1232</v>
      </c>
      <c r="C271">
        <v>1.4098999999999999</v>
      </c>
      <c r="D271">
        <v>1.3265</v>
      </c>
      <c r="E271">
        <v>1.4386000000000001</v>
      </c>
      <c r="F271" t="s">
        <v>1302</v>
      </c>
    </row>
    <row r="272" spans="1:6" x14ac:dyDescent="0.2">
      <c r="A272" s="5">
        <v>44880.648611111108</v>
      </c>
      <c r="B272" t="s">
        <v>1232</v>
      </c>
      <c r="C272">
        <v>0.37430000000000002</v>
      </c>
      <c r="D272">
        <v>0.18090000000000001</v>
      </c>
      <c r="E272">
        <v>0.34639999999999999</v>
      </c>
      <c r="F272" t="s">
        <v>1303</v>
      </c>
    </row>
    <row r="273" spans="1:6" x14ac:dyDescent="0.2">
      <c r="A273" s="5">
        <v>44880.648611111108</v>
      </c>
      <c r="B273" t="s">
        <v>1232</v>
      </c>
      <c r="C273">
        <v>0.15690000000000001</v>
      </c>
      <c r="D273">
        <v>0.40799999999999997</v>
      </c>
      <c r="E273">
        <v>0.76060000000000005</v>
      </c>
      <c r="F273" t="s">
        <v>1304</v>
      </c>
    </row>
    <row r="274" spans="1:6" x14ac:dyDescent="0.2">
      <c r="A274" s="5">
        <v>44880.648611111108</v>
      </c>
      <c r="B274" t="s">
        <v>1232</v>
      </c>
      <c r="C274">
        <v>-0.77090000000000003</v>
      </c>
      <c r="D274">
        <v>-0.4738</v>
      </c>
      <c r="E274">
        <v>-0.37780000000000002</v>
      </c>
      <c r="F274" t="s">
        <v>1305</v>
      </c>
    </row>
    <row r="275" spans="1:6" x14ac:dyDescent="0.2">
      <c r="A275" s="5">
        <v>44880.648611111108</v>
      </c>
      <c r="B275" t="s">
        <v>1232</v>
      </c>
      <c r="C275">
        <v>-0.28920000000000001</v>
      </c>
      <c r="D275">
        <v>-0.63480000000000003</v>
      </c>
      <c r="E275">
        <v>0.92700000000000005</v>
      </c>
      <c r="F275" t="s">
        <v>1306</v>
      </c>
    </row>
    <row r="276" spans="1:6" x14ac:dyDescent="0.2">
      <c r="A276" s="5">
        <v>44880.648611111108</v>
      </c>
      <c r="B276" t="s">
        <v>1232</v>
      </c>
      <c r="C276">
        <v>-0.40160000000000001</v>
      </c>
      <c r="D276">
        <v>-0.28370000000000001</v>
      </c>
      <c r="E276">
        <v>-0.6472</v>
      </c>
      <c r="F276" t="s">
        <v>1307</v>
      </c>
    </row>
    <row r="277" spans="1:6" x14ac:dyDescent="0.2">
      <c r="A277" s="5">
        <v>44880.648611111108</v>
      </c>
      <c r="B277" t="s">
        <v>1232</v>
      </c>
      <c r="C277">
        <v>-1.29E-2</v>
      </c>
      <c r="D277">
        <v>0.28610000000000002</v>
      </c>
      <c r="E277">
        <v>-8.8400000000000006E-2</v>
      </c>
      <c r="F277" t="s">
        <v>1308</v>
      </c>
    </row>
    <row r="278" spans="1:6" x14ac:dyDescent="0.2">
      <c r="A278" s="5">
        <v>44880.648611111108</v>
      </c>
      <c r="B278" t="s">
        <v>1232</v>
      </c>
      <c r="C278">
        <v>0.12509999999999999</v>
      </c>
      <c r="D278">
        <v>6.7000000000000004E-2</v>
      </c>
      <c r="E278">
        <v>0.24690000000000001</v>
      </c>
      <c r="F278" t="s">
        <v>1309</v>
      </c>
    </row>
    <row r="279" spans="1:6" x14ac:dyDescent="0.2">
      <c r="A279" s="5">
        <v>44880.648611111108</v>
      </c>
      <c r="B279" t="s">
        <v>1232</v>
      </c>
      <c r="C279">
        <v>1.0761000000000001</v>
      </c>
      <c r="D279">
        <v>1.41</v>
      </c>
      <c r="E279">
        <v>0.78790000000000004</v>
      </c>
      <c r="F279" t="s">
        <v>1310</v>
      </c>
    </row>
    <row r="280" spans="1:6" x14ac:dyDescent="0.2">
      <c r="A280" s="5">
        <v>44880.648611111108</v>
      </c>
      <c r="B280" t="s">
        <v>1232</v>
      </c>
      <c r="C280">
        <v>1.3658999999999999</v>
      </c>
      <c r="D280">
        <v>-0.74729999999999996</v>
      </c>
      <c r="E280">
        <v>0.90529999999999999</v>
      </c>
      <c r="F280" t="s">
        <v>1311</v>
      </c>
    </row>
    <row r="281" spans="1:6" x14ac:dyDescent="0.2">
      <c r="A281" s="5">
        <v>44880.648611111108</v>
      </c>
      <c r="B281" t="s">
        <v>1232</v>
      </c>
      <c r="C281">
        <v>-1.123</v>
      </c>
      <c r="D281">
        <v>0.36799999999999999</v>
      </c>
      <c r="E281">
        <v>-0.43209999999999998</v>
      </c>
      <c r="F281" t="s">
        <v>1312</v>
      </c>
    </row>
    <row r="282" spans="1:6" x14ac:dyDescent="0.2">
      <c r="A282" s="5">
        <v>44880.648611111108</v>
      </c>
      <c r="B282" t="s">
        <v>1232</v>
      </c>
      <c r="C282">
        <v>-9.6000000000000002E-2</v>
      </c>
      <c r="D282">
        <v>3.4700000000000002E-2</v>
      </c>
      <c r="E282">
        <v>-0.79890000000000005</v>
      </c>
      <c r="F282" t="s">
        <v>1313</v>
      </c>
    </row>
    <row r="283" spans="1:6" x14ac:dyDescent="0.2">
      <c r="A283" s="5">
        <v>44880.648611111108</v>
      </c>
      <c r="B283" t="s">
        <v>1232</v>
      </c>
      <c r="C283">
        <v>-0.3427</v>
      </c>
      <c r="D283">
        <v>0.55589999999999995</v>
      </c>
      <c r="E283">
        <v>1.5819000000000001</v>
      </c>
      <c r="F283" t="s">
        <v>1314</v>
      </c>
    </row>
    <row r="284" spans="1:6" x14ac:dyDescent="0.2">
      <c r="A284" s="5">
        <v>44880.648611111108</v>
      </c>
      <c r="B284" t="s">
        <v>1232</v>
      </c>
      <c r="C284">
        <v>0.3236</v>
      </c>
      <c r="D284">
        <v>1.6780999999999999</v>
      </c>
      <c r="E284">
        <v>-0.2586</v>
      </c>
      <c r="F284" t="s">
        <v>1315</v>
      </c>
    </row>
    <row r="285" spans="1:6" x14ac:dyDescent="0.2">
      <c r="A285" s="5">
        <v>44880.648611111108</v>
      </c>
      <c r="B285" t="s">
        <v>1232</v>
      </c>
      <c r="C285">
        <v>-1.0865</v>
      </c>
      <c r="D285">
        <v>-1.9987999999999999</v>
      </c>
      <c r="E285">
        <v>-0.21</v>
      </c>
      <c r="F285" t="s">
        <v>1316</v>
      </c>
    </row>
    <row r="286" spans="1:6" x14ac:dyDescent="0.2">
      <c r="A286" s="5">
        <v>44880.648611111108</v>
      </c>
      <c r="B286" t="s">
        <v>1232</v>
      </c>
      <c r="C286">
        <v>-12.248799999999999</v>
      </c>
      <c r="D286">
        <v>-12.843400000000001</v>
      </c>
      <c r="E286">
        <v>-12.3908</v>
      </c>
      <c r="F286" t="s">
        <v>1317</v>
      </c>
    </row>
    <row r="287" spans="1:6" x14ac:dyDescent="0.2">
      <c r="A287" s="5">
        <v>44880.648611111108</v>
      </c>
      <c r="B287" t="s">
        <v>1232</v>
      </c>
      <c r="C287" t="s">
        <v>1318</v>
      </c>
    </row>
    <row r="288" spans="1:6" x14ac:dyDescent="0.2">
      <c r="A288" s="5">
        <v>44880.648611111108</v>
      </c>
      <c r="B288" t="s">
        <v>1232</v>
      </c>
      <c r="C288" t="s">
        <v>1319</v>
      </c>
    </row>
    <row r="289" spans="1:8" x14ac:dyDescent="0.2">
      <c r="A289" s="5">
        <v>44880.648611111108</v>
      </c>
      <c r="B289" t="s">
        <v>1232</v>
      </c>
      <c r="C289" t="s">
        <v>1320</v>
      </c>
    </row>
    <row r="290" spans="1:8" x14ac:dyDescent="0.2">
      <c r="A290" s="5">
        <v>44880.648611111108</v>
      </c>
      <c r="B290" t="s">
        <v>1232</v>
      </c>
      <c r="C290" t="s">
        <v>1321</v>
      </c>
    </row>
    <row r="291" spans="1:8" x14ac:dyDescent="0.2">
      <c r="A291" s="5">
        <v>44880.648611111108</v>
      </c>
      <c r="B291" t="s">
        <v>1232</v>
      </c>
      <c r="C291" t="s">
        <v>1322</v>
      </c>
    </row>
    <row r="292" spans="1:8" x14ac:dyDescent="0.2">
      <c r="A292" s="5">
        <v>44880.648611111108</v>
      </c>
      <c r="B292" t="s">
        <v>1232</v>
      </c>
      <c r="C292" t="s">
        <v>1323</v>
      </c>
    </row>
    <row r="293" spans="1:8" x14ac:dyDescent="0.2">
      <c r="A293" s="5">
        <v>44880.648611111108</v>
      </c>
      <c r="B293" t="s">
        <v>1232</v>
      </c>
      <c r="C293" t="s">
        <v>1324</v>
      </c>
    </row>
    <row r="294" spans="1:8" x14ac:dyDescent="0.2">
      <c r="A294" s="5">
        <v>44880.648611111108</v>
      </c>
      <c r="B294" t="s">
        <v>1232</v>
      </c>
      <c r="C294" t="s">
        <v>1325</v>
      </c>
      <c r="D294" t="s">
        <v>1326</v>
      </c>
      <c r="E294" t="s">
        <v>1327</v>
      </c>
      <c r="F294" t="s">
        <v>1328</v>
      </c>
      <c r="G294" t="s">
        <v>1329</v>
      </c>
      <c r="H294" t="s">
        <v>1330</v>
      </c>
    </row>
    <row r="295" spans="1:8" x14ac:dyDescent="0.2">
      <c r="A295" s="5">
        <v>44880.648611111108</v>
      </c>
      <c r="B295" t="s">
        <v>1232</v>
      </c>
      <c r="C295" t="s">
        <v>1331</v>
      </c>
    </row>
    <row r="296" spans="1:8" x14ac:dyDescent="0.2">
      <c r="A296" s="5">
        <v>44880.648611111108</v>
      </c>
      <c r="B296" t="s">
        <v>1232</v>
      </c>
      <c r="C296" t="s">
        <v>1332</v>
      </c>
    </row>
    <row r="297" spans="1:8" x14ac:dyDescent="0.2">
      <c r="A297" s="5">
        <v>44880.648611111108</v>
      </c>
      <c r="B297" t="s">
        <v>1232</v>
      </c>
      <c r="C297" t="s">
        <v>1333</v>
      </c>
    </row>
    <row r="298" spans="1:8" x14ac:dyDescent="0.2">
      <c r="A298" s="5">
        <v>44880.648611111108</v>
      </c>
      <c r="B298" t="s">
        <v>1334</v>
      </c>
      <c r="C298" t="s">
        <v>1335</v>
      </c>
    </row>
    <row r="299" spans="1:8" x14ac:dyDescent="0.2">
      <c r="A299" s="5">
        <v>44880.648611111108</v>
      </c>
      <c r="B299" t="s">
        <v>1334</v>
      </c>
      <c r="C299" t="s">
        <v>1336</v>
      </c>
    </row>
    <row r="300" spans="1:8" x14ac:dyDescent="0.2">
      <c r="A300" s="5">
        <v>44880.648611111108</v>
      </c>
      <c r="B300" t="s">
        <v>1334</v>
      </c>
      <c r="C300" t="s">
        <v>1337</v>
      </c>
    </row>
    <row r="301" spans="1:8" x14ac:dyDescent="0.2">
      <c r="A301" s="5">
        <v>44880.648611111108</v>
      </c>
      <c r="B301" t="s">
        <v>1334</v>
      </c>
      <c r="C301" t="s">
        <v>1338</v>
      </c>
    </row>
    <row r="302" spans="1:8" x14ac:dyDescent="0.2">
      <c r="A302" s="5">
        <v>44880.649305555555</v>
      </c>
      <c r="B302" t="s">
        <v>1334</v>
      </c>
      <c r="C302" t="s">
        <v>1339</v>
      </c>
    </row>
    <row r="303" spans="1:8" x14ac:dyDescent="0.2">
      <c r="A303" s="5">
        <v>44880.649305555555</v>
      </c>
      <c r="B303" t="s">
        <v>1334</v>
      </c>
      <c r="C303" t="s">
        <v>1340</v>
      </c>
    </row>
    <row r="304" spans="1:8" x14ac:dyDescent="0.2">
      <c r="A304" s="5">
        <v>44880.649305555555</v>
      </c>
      <c r="B304" t="s">
        <v>1334</v>
      </c>
      <c r="C304" t="s">
        <v>1341</v>
      </c>
    </row>
    <row r="305" spans="1:3" x14ac:dyDescent="0.2">
      <c r="A305" s="5">
        <v>44880.649305555555</v>
      </c>
      <c r="B305" t="s">
        <v>1334</v>
      </c>
      <c r="C305" t="s">
        <v>1342</v>
      </c>
    </row>
    <row r="306" spans="1:3" x14ac:dyDescent="0.2">
      <c r="A306" s="5">
        <v>44880.649305555555</v>
      </c>
      <c r="B306" t="s">
        <v>1334</v>
      </c>
      <c r="C306" t="s">
        <v>1343</v>
      </c>
    </row>
    <row r="307" spans="1:3" x14ac:dyDescent="0.2">
      <c r="A307" s="5">
        <v>44880.649305555555</v>
      </c>
      <c r="B307" t="s">
        <v>1334</v>
      </c>
      <c r="C307" t="s">
        <v>1344</v>
      </c>
    </row>
    <row r="308" spans="1:3" x14ac:dyDescent="0.2">
      <c r="A308" s="5">
        <v>44880.649305555555</v>
      </c>
      <c r="B308" t="s">
        <v>1334</v>
      </c>
      <c r="C308" t="s">
        <v>1345</v>
      </c>
    </row>
    <row r="309" spans="1:3" x14ac:dyDescent="0.2">
      <c r="A309" s="5">
        <v>44880.649305555555</v>
      </c>
      <c r="B309" t="s">
        <v>1334</v>
      </c>
      <c r="C309" t="s">
        <v>1346</v>
      </c>
    </row>
    <row r="310" spans="1:3" x14ac:dyDescent="0.2">
      <c r="A310" s="5">
        <v>44880.65</v>
      </c>
      <c r="B310" t="s">
        <v>1334</v>
      </c>
      <c r="C310" t="s">
        <v>1347</v>
      </c>
    </row>
    <row r="311" spans="1:3" x14ac:dyDescent="0.2">
      <c r="A311" s="5">
        <v>44880.65</v>
      </c>
      <c r="B311" t="s">
        <v>1334</v>
      </c>
      <c r="C311" t="s">
        <v>1348</v>
      </c>
    </row>
    <row r="312" spans="1:3" x14ac:dyDescent="0.2">
      <c r="A312" s="5">
        <v>44880.65</v>
      </c>
      <c r="B312" t="s">
        <v>1334</v>
      </c>
      <c r="C312" t="s">
        <v>1349</v>
      </c>
    </row>
    <row r="313" spans="1:3" x14ac:dyDescent="0.2">
      <c r="A313" s="5">
        <v>44880.65</v>
      </c>
      <c r="B313" t="s">
        <v>1334</v>
      </c>
      <c r="C313" t="s">
        <v>1350</v>
      </c>
    </row>
    <row r="314" spans="1:3" x14ac:dyDescent="0.2">
      <c r="A314" s="5">
        <v>44880.650694444441</v>
      </c>
      <c r="B314" t="s">
        <v>1179</v>
      </c>
      <c r="C314" t="s">
        <v>1351</v>
      </c>
    </row>
    <row r="315" spans="1:3" x14ac:dyDescent="0.2">
      <c r="A315" s="5">
        <v>44880.650694444441</v>
      </c>
      <c r="B315" t="s">
        <v>1179</v>
      </c>
      <c r="C315" t="s">
        <v>1352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8"/>
  <sheetViews>
    <sheetView workbookViewId="0">
      <selection sqref="A1:XFD1"/>
    </sheetView>
  </sheetViews>
  <sheetFormatPr baseColWidth="10" defaultColWidth="8.83203125" defaultRowHeight="15" x14ac:dyDescent="0.2"/>
  <sheetData>
    <row r="1" spans="1:1" x14ac:dyDescent="0.2">
      <c r="A1" t="s">
        <v>1079</v>
      </c>
    </row>
    <row r="2" spans="1:1" x14ac:dyDescent="0.2">
      <c r="A2" t="s">
        <v>1353</v>
      </c>
    </row>
    <row r="3" spans="1:1" x14ac:dyDescent="0.2">
      <c r="A3" t="s">
        <v>1079</v>
      </c>
    </row>
    <row r="4" spans="1:1" x14ac:dyDescent="0.2">
      <c r="A4" t="s">
        <v>1081</v>
      </c>
    </row>
    <row r="5" spans="1:1" x14ac:dyDescent="0.2">
      <c r="A5" t="s">
        <v>1354</v>
      </c>
    </row>
    <row r="6" spans="1:1" x14ac:dyDescent="0.2">
      <c r="A6" t="s">
        <v>1355</v>
      </c>
    </row>
    <row r="7" spans="1:1" x14ac:dyDescent="0.2">
      <c r="A7" t="s">
        <v>1356</v>
      </c>
    </row>
    <row r="8" spans="1:1" x14ac:dyDescent="0.2">
      <c r="A8" t="s">
        <v>1357</v>
      </c>
    </row>
    <row r="9" spans="1:1" x14ac:dyDescent="0.2">
      <c r="A9" t="s">
        <v>1086</v>
      </c>
    </row>
    <row r="12" spans="1:1" x14ac:dyDescent="0.2">
      <c r="A12" t="s">
        <v>1087</v>
      </c>
    </row>
    <row r="13" spans="1:1" x14ac:dyDescent="0.2">
      <c r="A13" t="s">
        <v>1088</v>
      </c>
    </row>
    <row r="14" spans="1:1" x14ac:dyDescent="0.2">
      <c r="A14" t="s">
        <v>1087</v>
      </c>
    </row>
    <row r="16" spans="1:1" x14ac:dyDescent="0.2">
      <c r="A16" t="s">
        <v>1358</v>
      </c>
    </row>
    <row r="17" spans="1:1" x14ac:dyDescent="0.2">
      <c r="A17" t="s">
        <v>1359</v>
      </c>
    </row>
    <row r="18" spans="1:1" x14ac:dyDescent="0.2">
      <c r="A18" t="s">
        <v>1360</v>
      </c>
    </row>
    <row r="19" spans="1:1" x14ac:dyDescent="0.2">
      <c r="A19" t="s">
        <v>1361</v>
      </c>
    </row>
    <row r="20" spans="1:1" x14ac:dyDescent="0.2">
      <c r="A20" t="s">
        <v>1362</v>
      </c>
    </row>
    <row r="21" spans="1:1" x14ac:dyDescent="0.2">
      <c r="A21" t="s">
        <v>1363</v>
      </c>
    </row>
    <row r="22" spans="1:1" x14ac:dyDescent="0.2">
      <c r="A22" t="s">
        <v>1364</v>
      </c>
    </row>
    <row r="23" spans="1:1" x14ac:dyDescent="0.2">
      <c r="A23" t="s">
        <v>1365</v>
      </c>
    </row>
    <row r="24" spans="1:1" x14ac:dyDescent="0.2">
      <c r="A24" t="s">
        <v>1366</v>
      </c>
    </row>
    <row r="25" spans="1:1" x14ac:dyDescent="0.2">
      <c r="A25" t="s">
        <v>1367</v>
      </c>
    </row>
    <row r="26" spans="1:1" x14ac:dyDescent="0.2">
      <c r="A26" t="s">
        <v>1368</v>
      </c>
    </row>
    <row r="28" spans="1:1" x14ac:dyDescent="0.2">
      <c r="A28" t="s">
        <v>1369</v>
      </c>
    </row>
    <row r="29" spans="1:1" x14ac:dyDescent="0.2">
      <c r="A29" t="s">
        <v>1370</v>
      </c>
    </row>
    <row r="31" spans="1:1" x14ac:dyDescent="0.2">
      <c r="A31" t="s">
        <v>1371</v>
      </c>
    </row>
    <row r="32" spans="1:1" x14ac:dyDescent="0.2">
      <c r="A32" t="s">
        <v>1372</v>
      </c>
    </row>
    <row r="33" spans="1:1" x14ac:dyDescent="0.2">
      <c r="A33" t="s">
        <v>1373</v>
      </c>
    </row>
    <row r="34" spans="1:1" x14ac:dyDescent="0.2">
      <c r="A34" t="s">
        <v>1374</v>
      </c>
    </row>
    <row r="36" spans="1:1" x14ac:dyDescent="0.2">
      <c r="A36" t="s">
        <v>1087</v>
      </c>
    </row>
    <row r="37" spans="1:1" x14ac:dyDescent="0.2">
      <c r="A37" t="s">
        <v>1375</v>
      </c>
    </row>
    <row r="38" spans="1:1" x14ac:dyDescent="0.2">
      <c r="A38" t="s">
        <v>1087</v>
      </c>
    </row>
    <row r="39" spans="1:1" x14ac:dyDescent="0.2">
      <c r="A39" t="s">
        <v>1376</v>
      </c>
    </row>
    <row r="40" spans="1:1" x14ac:dyDescent="0.2">
      <c r="A40" t="e">
        <f>- Spectra to Store:  Identified or Quantified</f>
        <v>#NAME?</v>
      </c>
    </row>
    <row r="41" spans="1:1" x14ac:dyDescent="0.2">
      <c r="A41" t="e">
        <f>- Feature Traces to Store:  All</f>
        <v>#NAME?</v>
      </c>
    </row>
    <row r="43" spans="1:1" x14ac:dyDescent="0.2">
      <c r="A43" t="s">
        <v>1377</v>
      </c>
    </row>
    <row r="44" spans="1:1" x14ac:dyDescent="0.2">
      <c r="A44" t="e">
        <f>- Merge Mode:  Globally by Search Engine Type</f>
        <v>#NAME?</v>
      </c>
    </row>
    <row r="46" spans="1:1" x14ac:dyDescent="0.2">
      <c r="A46" t="s">
        <v>1378</v>
      </c>
    </row>
    <row r="47" spans="1:1" x14ac:dyDescent="0.2">
      <c r="A47" t="e">
        <f>- Reported FASTA Title Lines:  Best match</f>
        <v>#NAME?</v>
      </c>
    </row>
    <row r="48" spans="1:1" x14ac:dyDescent="0.2">
      <c r="A48" t="e">
        <f>- Title Line Rule:  standard</f>
        <v>#NAME?</v>
      </c>
    </row>
    <row r="50" spans="1:1" x14ac:dyDescent="0.2">
      <c r="A50" t="s">
        <v>1379</v>
      </c>
    </row>
    <row r="51" spans="1:1" x14ac:dyDescent="0.2">
      <c r="A51" t="s">
        <v>1162</v>
      </c>
    </row>
    <row r="52" spans="1:1" x14ac:dyDescent="0.2">
      <c r="A52" t="s">
        <v>1163</v>
      </c>
    </row>
    <row r="53" spans="1:1" x14ac:dyDescent="0.2">
      <c r="A53" t="s">
        <v>1380</v>
      </c>
    </row>
    <row r="55" spans="1:1" x14ac:dyDescent="0.2">
      <c r="A55" t="s">
        <v>1381</v>
      </c>
    </row>
    <row r="56" spans="1:1" x14ac:dyDescent="0.2">
      <c r="A56" t="e">
        <f ca="1">- MSF File(s):  D:\dmallett\111422_Eclipse\DM110422_111422_PD2_5\DM110422_111422_2.msf</f>
        <v>#NAME?</v>
      </c>
    </row>
    <row r="58" spans="1:1" x14ac:dyDescent="0.2">
      <c r="A58" t="s">
        <v>1087</v>
      </c>
    </row>
    <row r="59" spans="1:1" x14ac:dyDescent="0.2">
      <c r="A59" t="s">
        <v>1382</v>
      </c>
    </row>
    <row r="60" spans="1:1" x14ac:dyDescent="0.2">
      <c r="A60" t="s">
        <v>1087</v>
      </c>
    </row>
    <row r="61" spans="1:1" x14ac:dyDescent="0.2">
      <c r="A61" t="s">
        <v>1383</v>
      </c>
    </row>
    <row r="62" spans="1:1" x14ac:dyDescent="0.2">
      <c r="A62" t="s">
        <v>1384</v>
      </c>
    </row>
    <row r="64" spans="1:1" x14ac:dyDescent="0.2">
      <c r="A64" t="s">
        <v>1087</v>
      </c>
    </row>
    <row r="65" spans="1:1" x14ac:dyDescent="0.2">
      <c r="A65" t="s">
        <v>1385</v>
      </c>
    </row>
    <row r="66" spans="1:1" x14ac:dyDescent="0.2">
      <c r="A66" t="s">
        <v>1087</v>
      </c>
    </row>
    <row r="67" spans="1:1" x14ac:dyDescent="0.2">
      <c r="A67" t="s">
        <v>1386</v>
      </c>
    </row>
    <row r="68" spans="1:1" x14ac:dyDescent="0.2">
      <c r="A68" t="e">
        <f>- Validation Mode:  Automatic (Control Peptide level error rate if possible)</f>
        <v>#NAME?</v>
      </c>
    </row>
    <row r="69" spans="1:1" x14ac:dyDescent="0.2">
      <c r="A69" t="s">
        <v>1387</v>
      </c>
    </row>
    <row r="70" spans="1:1" x14ac:dyDescent="0.2">
      <c r="A70" t="s">
        <v>1388</v>
      </c>
    </row>
    <row r="71" spans="1:1" x14ac:dyDescent="0.2">
      <c r="A71" t="s">
        <v>1389</v>
      </c>
    </row>
    <row r="72" spans="1:1" x14ac:dyDescent="0.2">
      <c r="A72" t="s">
        <v>1390</v>
      </c>
    </row>
    <row r="74" spans="1:1" x14ac:dyDescent="0.2">
      <c r="A74" t="s">
        <v>1391</v>
      </c>
    </row>
    <row r="75" spans="1:1" x14ac:dyDescent="0.2">
      <c r="A75" t="e">
        <f>- Validation based on:  q-Value</f>
        <v>#NAME?</v>
      </c>
    </row>
    <row r="76" spans="1:1" x14ac:dyDescent="0.2">
      <c r="A76" t="e">
        <f>- Target/Decoy Selection for PSM level FDR Calculation based on Score:  Automatic</f>
        <v>#NAME?</v>
      </c>
    </row>
    <row r="77" spans="1:1" x14ac:dyDescent="0.2">
      <c r="A77" t="s">
        <v>1392</v>
      </c>
    </row>
    <row r="79" spans="1:1" x14ac:dyDescent="0.2">
      <c r="A79" t="s">
        <v>1087</v>
      </c>
    </row>
    <row r="80" spans="1:1" x14ac:dyDescent="0.2">
      <c r="A80" t="s">
        <v>1393</v>
      </c>
    </row>
    <row r="81" spans="1:1" x14ac:dyDescent="0.2">
      <c r="A81" t="s">
        <v>1087</v>
      </c>
    </row>
    <row r="82" spans="1:1" x14ac:dyDescent="0.2">
      <c r="A82" t="s">
        <v>1394</v>
      </c>
    </row>
    <row r="83" spans="1:1" x14ac:dyDescent="0.2">
      <c r="A83" t="e">
        <f>- Peptide Confidence At Least:  High</f>
        <v>#NAME?</v>
      </c>
    </row>
    <row r="84" spans="1:1" x14ac:dyDescent="0.2">
      <c r="A84" t="s">
        <v>1395</v>
      </c>
    </row>
    <row r="85" spans="1:1" x14ac:dyDescent="0.2">
      <c r="A85" t="s">
        <v>1396</v>
      </c>
    </row>
    <row r="86" spans="1:1" x14ac:dyDescent="0.2">
      <c r="A86" t="s">
        <v>1397</v>
      </c>
    </row>
    <row r="88" spans="1:1" x14ac:dyDescent="0.2">
      <c r="A88" t="s">
        <v>1398</v>
      </c>
    </row>
    <row r="89" spans="1:1" x14ac:dyDescent="0.2">
      <c r="A89" t="s">
        <v>1399</v>
      </c>
    </row>
    <row r="90" spans="1:1" x14ac:dyDescent="0.2">
      <c r="A90" t="s">
        <v>1400</v>
      </c>
    </row>
    <row r="91" spans="1:1" x14ac:dyDescent="0.2">
      <c r="A91" t="s">
        <v>1401</v>
      </c>
    </row>
    <row r="93" spans="1:1" x14ac:dyDescent="0.2">
      <c r="A93" t="s">
        <v>1087</v>
      </c>
    </row>
    <row r="94" spans="1:1" x14ac:dyDescent="0.2">
      <c r="A94" t="s">
        <v>1402</v>
      </c>
    </row>
    <row r="95" spans="1:1" x14ac:dyDescent="0.2">
      <c r="A95" t="s">
        <v>1087</v>
      </c>
    </row>
    <row r="96" spans="1:1" x14ac:dyDescent="0.2">
      <c r="A96" t="s">
        <v>1403</v>
      </c>
    </row>
    <row r="98" spans="1:1" x14ac:dyDescent="0.2">
      <c r="A98" t="s">
        <v>1087</v>
      </c>
    </row>
    <row r="99" spans="1:1" x14ac:dyDescent="0.2">
      <c r="A99" t="s">
        <v>1404</v>
      </c>
    </row>
    <row r="100" spans="1:1" x14ac:dyDescent="0.2">
      <c r="A100" t="s">
        <v>1087</v>
      </c>
    </row>
    <row r="101" spans="1:1" x14ac:dyDescent="0.2">
      <c r="A101" t="s">
        <v>1405</v>
      </c>
    </row>
    <row r="102" spans="1:1" x14ac:dyDescent="0.2">
      <c r="A102" t="s">
        <v>1165</v>
      </c>
    </row>
    <row r="103" spans="1:1" x14ac:dyDescent="0.2">
      <c r="A103" t="s">
        <v>1166</v>
      </c>
    </row>
    <row r="105" spans="1:1" x14ac:dyDescent="0.2">
      <c r="A105" t="s">
        <v>1087</v>
      </c>
    </row>
    <row r="106" spans="1:1" x14ac:dyDescent="0.2">
      <c r="A106" t="s">
        <v>1406</v>
      </c>
    </row>
    <row r="107" spans="1:1" x14ac:dyDescent="0.2">
      <c r="A107" t="s">
        <v>1087</v>
      </c>
    </row>
    <row r="108" spans="1:1" x14ac:dyDescent="0.2">
      <c r="A108" t="s">
        <v>1407</v>
      </c>
    </row>
    <row r="109" spans="1:1" x14ac:dyDescent="0.2">
      <c r="A109" t="s">
        <v>1408</v>
      </c>
    </row>
    <row r="111" spans="1:1" x14ac:dyDescent="0.2">
      <c r="A111" t="s">
        <v>1087</v>
      </c>
    </row>
    <row r="112" spans="1:1" x14ac:dyDescent="0.2">
      <c r="A112" t="s">
        <v>1409</v>
      </c>
    </row>
    <row r="113" spans="1:1" x14ac:dyDescent="0.2">
      <c r="A113" t="s">
        <v>1087</v>
      </c>
    </row>
    <row r="114" spans="1:1" x14ac:dyDescent="0.2">
      <c r="A114" t="s">
        <v>1410</v>
      </c>
    </row>
    <row r="115" spans="1:1" x14ac:dyDescent="0.2">
      <c r="A115" t="s">
        <v>1170</v>
      </c>
    </row>
    <row r="116" spans="1:1" x14ac:dyDescent="0.2">
      <c r="A116" t="s">
        <v>1411</v>
      </c>
    </row>
    <row r="117" spans="1:1" x14ac:dyDescent="0.2">
      <c r="A117" t="s">
        <v>1412</v>
      </c>
    </row>
    <row r="119" spans="1:1" x14ac:dyDescent="0.2">
      <c r="A119" t="s">
        <v>1087</v>
      </c>
    </row>
    <row r="120" spans="1:1" x14ac:dyDescent="0.2">
      <c r="A120" t="s">
        <v>1413</v>
      </c>
    </row>
    <row r="121" spans="1:1" x14ac:dyDescent="0.2">
      <c r="A121" t="s">
        <v>1087</v>
      </c>
    </row>
    <row r="122" spans="1:1" x14ac:dyDescent="0.2">
      <c r="A122" t="s">
        <v>1414</v>
      </c>
    </row>
    <row r="123" spans="1:1" x14ac:dyDescent="0.2">
      <c r="A123" t="s">
        <v>1415</v>
      </c>
    </row>
    <row r="124" spans="1:1" x14ac:dyDescent="0.2">
      <c r="A124" t="s">
        <v>1416</v>
      </c>
    </row>
    <row r="126" spans="1:1" x14ac:dyDescent="0.2">
      <c r="A126" t="s">
        <v>1417</v>
      </c>
    </row>
    <row r="127" spans="1:1" x14ac:dyDescent="0.2">
      <c r="A127" t="e">
        <f>- Protein Modifications Reported:  only for Master Proteins</f>
        <v>#NAME?</v>
      </c>
    </row>
    <row r="129" spans="1:1" x14ac:dyDescent="0.2">
      <c r="A129" t="s">
        <v>1418</v>
      </c>
    </row>
    <row r="130" spans="1:1" x14ac:dyDescent="0.2">
      <c r="A130" t="e">
        <f>- Modification Sites Reported:  All and Specific</f>
        <v>#NAME?</v>
      </c>
    </row>
    <row r="131" spans="1:1" x14ac:dyDescent="0.2">
      <c r="A131" t="e">
        <f>- Minimum PSM Confidence:  High</f>
        <v>#NAME?</v>
      </c>
    </row>
    <row r="132" spans="1:1" x14ac:dyDescent="0.2">
      <c r="A132" t="s">
        <v>1170</v>
      </c>
    </row>
    <row r="134" spans="1:1" x14ac:dyDescent="0.2">
      <c r="A134" t="s">
        <v>1419</v>
      </c>
    </row>
    <row r="135" spans="1:1" x14ac:dyDescent="0.2">
      <c r="A135" t="e">
        <f>- Protein Positions for Peptides:  only for Master Proteins</f>
        <v>#NAME?</v>
      </c>
    </row>
    <row r="137" spans="1:1" x14ac:dyDescent="0.2">
      <c r="A137" t="s">
        <v>1087</v>
      </c>
    </row>
    <row r="138" spans="1:1" x14ac:dyDescent="0.2">
      <c r="A138" t="s">
        <v>1420</v>
      </c>
    </row>
    <row r="139" spans="1:1" x14ac:dyDescent="0.2">
      <c r="A139" t="s">
        <v>1087</v>
      </c>
    </row>
    <row r="140" spans="1:1" x14ac:dyDescent="0.2">
      <c r="A140" t="s">
        <v>1403</v>
      </c>
    </row>
    <row r="142" spans="1:1" x14ac:dyDescent="0.2">
      <c r="A142" t="s">
        <v>1087</v>
      </c>
    </row>
    <row r="143" spans="1:1" x14ac:dyDescent="0.2">
      <c r="A143" t="s">
        <v>1421</v>
      </c>
    </row>
    <row r="144" spans="1:1" x14ac:dyDescent="0.2">
      <c r="A144" t="s">
        <v>1087</v>
      </c>
    </row>
    <row r="145" spans="1:1" x14ac:dyDescent="0.2">
      <c r="A145" t="s">
        <v>1422</v>
      </c>
    </row>
    <row r="146" spans="1:1" x14ac:dyDescent="0.2">
      <c r="A146" t="s">
        <v>1423</v>
      </c>
    </row>
    <row r="147" spans="1:1" x14ac:dyDescent="0.2">
      <c r="A147" t="s">
        <v>1424</v>
      </c>
    </row>
    <row r="148" spans="1:1" x14ac:dyDescent="0.2">
      <c r="A148" t="s">
        <v>1425</v>
      </c>
    </row>
    <row r="149" spans="1:1" x14ac:dyDescent="0.2">
      <c r="A149" t="s">
        <v>1426</v>
      </c>
    </row>
    <row r="150" spans="1:1" x14ac:dyDescent="0.2">
      <c r="A150" t="s">
        <v>1427</v>
      </c>
    </row>
    <row r="151" spans="1:1" x14ac:dyDescent="0.2">
      <c r="A151" t="s">
        <v>1428</v>
      </c>
    </row>
    <row r="153" spans="1:1" x14ac:dyDescent="0.2">
      <c r="A153" t="s">
        <v>1429</v>
      </c>
    </row>
    <row r="154" spans="1:1" x14ac:dyDescent="0.2">
      <c r="A154" t="e">
        <f>- Protein Database:  SGDyeast_20080728.fasta</f>
        <v>#NAME?</v>
      </c>
    </row>
    <row r="156" spans="1:1" x14ac:dyDescent="0.2">
      <c r="A156" t="s">
        <v>1087</v>
      </c>
    </row>
    <row r="157" spans="1:1" x14ac:dyDescent="0.2">
      <c r="A157" t="s">
        <v>1430</v>
      </c>
    </row>
    <row r="158" spans="1:1" x14ac:dyDescent="0.2">
      <c r="A158" t="s">
        <v>1087</v>
      </c>
    </row>
    <row r="159" spans="1:1" x14ac:dyDescent="0.2">
      <c r="A159" t="s">
        <v>1410</v>
      </c>
    </row>
    <row r="160" spans="1:1" x14ac:dyDescent="0.2">
      <c r="A160" t="s">
        <v>1431</v>
      </c>
    </row>
    <row r="161" spans="1:2" x14ac:dyDescent="0.2">
      <c r="B161" t="s">
        <v>1432</v>
      </c>
    </row>
    <row r="162" spans="1:2" x14ac:dyDescent="0.2">
      <c r="B162" t="s">
        <v>1433</v>
      </c>
    </row>
    <row r="163" spans="1:2" x14ac:dyDescent="0.2">
      <c r="B163" t="s">
        <v>1434</v>
      </c>
    </row>
    <row r="164" spans="1:2" x14ac:dyDescent="0.2">
      <c r="B164" t="s">
        <v>1435</v>
      </c>
    </row>
    <row r="166" spans="1:2" x14ac:dyDescent="0.2">
      <c r="B166" t="s">
        <v>1436</v>
      </c>
    </row>
    <row r="168" spans="1:2" x14ac:dyDescent="0.2">
      <c r="A168" t="s">
        <v>1087</v>
      </c>
    </row>
    <row r="169" spans="1:2" x14ac:dyDescent="0.2">
      <c r="A169" t="s">
        <v>1437</v>
      </c>
    </row>
    <row r="170" spans="1:2" x14ac:dyDescent="0.2">
      <c r="A170" t="s">
        <v>1087</v>
      </c>
    </row>
    <row r="171" spans="1:2" x14ac:dyDescent="0.2">
      <c r="A171" t="s">
        <v>1403</v>
      </c>
    </row>
    <row r="173" spans="1:2" x14ac:dyDescent="0.2">
      <c r="A173" t="s">
        <v>1087</v>
      </c>
    </row>
    <row r="174" spans="1:2" x14ac:dyDescent="0.2">
      <c r="A174" t="s">
        <v>1438</v>
      </c>
    </row>
    <row r="175" spans="1:2" x14ac:dyDescent="0.2">
      <c r="A175" t="s">
        <v>1087</v>
      </c>
    </row>
    <row r="176" spans="1:2" x14ac:dyDescent="0.2">
      <c r="A176" t="s">
        <v>1439</v>
      </c>
    </row>
    <row r="177" spans="1:3" x14ac:dyDescent="0.2">
      <c r="A177" t="e">
        <f>- Peptides to Use:  only unique Peptides based on Protein groups</f>
        <v>#NAME?</v>
      </c>
    </row>
    <row r="179" spans="1:3" x14ac:dyDescent="0.2">
      <c r="A179" t="s">
        <v>1087</v>
      </c>
    </row>
    <row r="180" spans="1:3" x14ac:dyDescent="0.2">
      <c r="A180" t="s">
        <v>1440</v>
      </c>
    </row>
    <row r="181" spans="1:3" x14ac:dyDescent="0.2">
      <c r="A181" t="s">
        <v>1087</v>
      </c>
    </row>
    <row r="182" spans="1:3" x14ac:dyDescent="0.2">
      <c r="A182" t="s">
        <v>1441</v>
      </c>
    </row>
    <row r="183" spans="1:3" x14ac:dyDescent="0.2">
      <c r="A183" t="s">
        <v>1442</v>
      </c>
    </row>
    <row r="186" spans="1:3" x14ac:dyDescent="0.2">
      <c r="A186" t="s">
        <v>1087</v>
      </c>
    </row>
    <row r="187" spans="1:3" x14ac:dyDescent="0.2">
      <c r="A187" t="s">
        <v>1178</v>
      </c>
    </row>
    <row r="188" spans="1:3" x14ac:dyDescent="0.2">
      <c r="A188" t="s">
        <v>1087</v>
      </c>
    </row>
    <row r="189" spans="1:3" x14ac:dyDescent="0.2">
      <c r="A189" s="5">
        <v>44880.650694444441</v>
      </c>
      <c r="B189" t="s">
        <v>1179</v>
      </c>
      <c r="C189" t="s">
        <v>1443</v>
      </c>
    </row>
    <row r="190" spans="1:3" x14ac:dyDescent="0.2">
      <c r="A190" s="5">
        <v>44880.650694444441</v>
      </c>
      <c r="B190" t="s">
        <v>1444</v>
      </c>
      <c r="C190" t="s">
        <v>1445</v>
      </c>
    </row>
    <row r="191" spans="1:3" x14ac:dyDescent="0.2">
      <c r="A191" s="5">
        <v>44880.650694444441</v>
      </c>
      <c r="B191" t="s">
        <v>1444</v>
      </c>
      <c r="C191" t="s">
        <v>1446</v>
      </c>
    </row>
    <row r="192" spans="1:3" x14ac:dyDescent="0.2">
      <c r="A192" s="5">
        <v>44880.650694444441</v>
      </c>
      <c r="B192" t="s">
        <v>1444</v>
      </c>
      <c r="C192" t="s">
        <v>1447</v>
      </c>
    </row>
    <row r="193" spans="1:3" x14ac:dyDescent="0.2">
      <c r="A193" s="5">
        <v>44880.650694444441</v>
      </c>
      <c r="B193" t="s">
        <v>1444</v>
      </c>
      <c r="C193" t="s">
        <v>1448</v>
      </c>
    </row>
    <row r="194" spans="1:3" x14ac:dyDescent="0.2">
      <c r="A194" s="5">
        <v>44880.650694444441</v>
      </c>
      <c r="B194" t="s">
        <v>1444</v>
      </c>
      <c r="C194" t="s">
        <v>1449</v>
      </c>
    </row>
    <row r="195" spans="1:3" x14ac:dyDescent="0.2">
      <c r="A195" s="5">
        <v>44880.650694444441</v>
      </c>
      <c r="B195" t="s">
        <v>1444</v>
      </c>
      <c r="C195" t="s">
        <v>1450</v>
      </c>
    </row>
    <row r="196" spans="1:3" x14ac:dyDescent="0.2">
      <c r="A196" s="5">
        <v>44880.650694444441</v>
      </c>
      <c r="B196" t="s">
        <v>1444</v>
      </c>
      <c r="C196" t="s">
        <v>1451</v>
      </c>
    </row>
    <row r="197" spans="1:3" x14ac:dyDescent="0.2">
      <c r="A197" s="5">
        <v>44880.650694444441</v>
      </c>
      <c r="B197" t="s">
        <v>1444</v>
      </c>
      <c r="C197" t="s">
        <v>1452</v>
      </c>
    </row>
    <row r="198" spans="1:3" x14ac:dyDescent="0.2">
      <c r="A198" s="5">
        <v>44880.650694444441</v>
      </c>
      <c r="B198" t="s">
        <v>1444</v>
      </c>
      <c r="C198" t="s">
        <v>1453</v>
      </c>
    </row>
    <row r="199" spans="1:3" x14ac:dyDescent="0.2">
      <c r="A199" s="5">
        <v>44880.650694444441</v>
      </c>
      <c r="B199" t="s">
        <v>1444</v>
      </c>
      <c r="C199" t="s">
        <v>1454</v>
      </c>
    </row>
    <row r="200" spans="1:3" x14ac:dyDescent="0.2">
      <c r="A200" s="5">
        <v>44880.650694444441</v>
      </c>
      <c r="B200" t="s">
        <v>1444</v>
      </c>
      <c r="C200" t="s">
        <v>1455</v>
      </c>
    </row>
    <row r="201" spans="1:3" x14ac:dyDescent="0.2">
      <c r="A201" s="5">
        <v>44880.650694444441</v>
      </c>
      <c r="B201" t="s">
        <v>1444</v>
      </c>
      <c r="C201" t="s">
        <v>1456</v>
      </c>
    </row>
    <row r="202" spans="1:3" x14ac:dyDescent="0.2">
      <c r="A202" s="5">
        <v>44880.650694444441</v>
      </c>
      <c r="B202" t="s">
        <v>1444</v>
      </c>
      <c r="C202" t="s">
        <v>1457</v>
      </c>
    </row>
    <row r="203" spans="1:3" x14ac:dyDescent="0.2">
      <c r="A203" s="5">
        <v>44880.650694444441</v>
      </c>
      <c r="B203" t="s">
        <v>1444</v>
      </c>
      <c r="C203" t="s">
        <v>1458</v>
      </c>
    </row>
    <row r="204" spans="1:3" x14ac:dyDescent="0.2">
      <c r="A204" s="5">
        <v>44880.650694444441</v>
      </c>
      <c r="B204" t="s">
        <v>1444</v>
      </c>
      <c r="C204" t="s">
        <v>1459</v>
      </c>
    </row>
    <row r="205" spans="1:3" x14ac:dyDescent="0.2">
      <c r="A205" s="5">
        <v>44880.650694444441</v>
      </c>
      <c r="B205" t="s">
        <v>1444</v>
      </c>
      <c r="C205" t="s">
        <v>1460</v>
      </c>
    </row>
    <row r="206" spans="1:3" x14ac:dyDescent="0.2">
      <c r="A206" s="5">
        <v>44880.651388888888</v>
      </c>
      <c r="B206" t="s">
        <v>1444</v>
      </c>
      <c r="C206" t="s">
        <v>1461</v>
      </c>
    </row>
    <row r="207" spans="1:3" x14ac:dyDescent="0.2">
      <c r="A207" s="5">
        <v>44880.651388888888</v>
      </c>
      <c r="B207" t="s">
        <v>1444</v>
      </c>
      <c r="C207" t="s">
        <v>1462</v>
      </c>
    </row>
    <row r="208" spans="1:3" x14ac:dyDescent="0.2">
      <c r="A208" s="5">
        <v>44880.651388888888</v>
      </c>
      <c r="B208" t="s">
        <v>1444</v>
      </c>
      <c r="C208" t="s">
        <v>1463</v>
      </c>
    </row>
    <row r="209" spans="1:3" x14ac:dyDescent="0.2">
      <c r="A209" s="5">
        <v>44880.652083333334</v>
      </c>
      <c r="B209" t="s">
        <v>1444</v>
      </c>
      <c r="C209" t="s">
        <v>1464</v>
      </c>
    </row>
    <row r="210" spans="1:3" x14ac:dyDescent="0.2">
      <c r="A210" s="5">
        <v>44880.652083333334</v>
      </c>
      <c r="B210" t="s">
        <v>1465</v>
      </c>
      <c r="C210" t="s">
        <v>1466</v>
      </c>
    </row>
    <row r="211" spans="1:3" x14ac:dyDescent="0.2">
      <c r="A211" s="5">
        <v>44880.65347222222</v>
      </c>
      <c r="B211" t="s">
        <v>1465</v>
      </c>
      <c r="C211" t="s">
        <v>1467</v>
      </c>
    </row>
    <row r="212" spans="1:3" x14ac:dyDescent="0.2">
      <c r="A212" s="5">
        <v>44880.65347222222</v>
      </c>
      <c r="B212" t="s">
        <v>1465</v>
      </c>
      <c r="C212" t="s">
        <v>1468</v>
      </c>
    </row>
    <row r="213" spans="1:3" x14ac:dyDescent="0.2">
      <c r="A213" s="5">
        <v>44880.654861111114</v>
      </c>
      <c r="B213" t="s">
        <v>1465</v>
      </c>
      <c r="C213" t="s">
        <v>1469</v>
      </c>
    </row>
    <row r="214" spans="1:3" x14ac:dyDescent="0.2">
      <c r="A214" s="5">
        <v>44880.654861111114</v>
      </c>
      <c r="B214" t="s">
        <v>1465</v>
      </c>
      <c r="C214" t="s">
        <v>1470</v>
      </c>
    </row>
    <row r="215" spans="1:3" x14ac:dyDescent="0.2">
      <c r="A215" s="5">
        <v>44880.654861111114</v>
      </c>
      <c r="B215" t="s">
        <v>1471</v>
      </c>
      <c r="C215" t="s">
        <v>1472</v>
      </c>
    </row>
    <row r="216" spans="1:3" x14ac:dyDescent="0.2">
      <c r="A216" s="5">
        <v>44880.654861111114</v>
      </c>
      <c r="B216" t="s">
        <v>1471</v>
      </c>
      <c r="C216" t="s">
        <v>1473</v>
      </c>
    </row>
    <row r="217" spans="1:3" x14ac:dyDescent="0.2">
      <c r="A217" s="5">
        <v>44880.654861111114</v>
      </c>
      <c r="B217" t="s">
        <v>1471</v>
      </c>
      <c r="C217" t="s">
        <v>1474</v>
      </c>
    </row>
    <row r="218" spans="1:3" x14ac:dyDescent="0.2">
      <c r="A218" s="5">
        <v>44880.655555555553</v>
      </c>
      <c r="B218" t="s">
        <v>1471</v>
      </c>
      <c r="C218" t="s">
        <v>1475</v>
      </c>
    </row>
    <row r="219" spans="1:3" x14ac:dyDescent="0.2">
      <c r="A219" s="5">
        <v>44880.655555555553</v>
      </c>
      <c r="B219" t="s">
        <v>1471</v>
      </c>
      <c r="C219" t="s">
        <v>1476</v>
      </c>
    </row>
    <row r="220" spans="1:3" x14ac:dyDescent="0.2">
      <c r="A220" s="5">
        <v>44880.655555555553</v>
      </c>
      <c r="B220" t="s">
        <v>1471</v>
      </c>
      <c r="C220" t="s">
        <v>1477</v>
      </c>
    </row>
    <row r="221" spans="1:3" x14ac:dyDescent="0.2">
      <c r="A221" s="5">
        <v>44880.655555555553</v>
      </c>
      <c r="B221" t="s">
        <v>1478</v>
      </c>
      <c r="C221" t="s">
        <v>1479</v>
      </c>
    </row>
    <row r="222" spans="1:3" x14ac:dyDescent="0.2">
      <c r="A222" s="5">
        <v>44880.655555555553</v>
      </c>
      <c r="B222" t="s">
        <v>1478</v>
      </c>
      <c r="C222" t="s">
        <v>1480</v>
      </c>
    </row>
    <row r="223" spans="1:3" x14ac:dyDescent="0.2">
      <c r="A223" s="5">
        <v>44880.655555555553</v>
      </c>
      <c r="B223" t="s">
        <v>1478</v>
      </c>
      <c r="C223" t="s">
        <v>1481</v>
      </c>
    </row>
    <row r="224" spans="1:3" x14ac:dyDescent="0.2">
      <c r="A224" s="5">
        <v>44880.655555555553</v>
      </c>
      <c r="B224" t="s">
        <v>1478</v>
      </c>
      <c r="C224" t="s">
        <v>1482</v>
      </c>
    </row>
    <row r="225" spans="1:3" x14ac:dyDescent="0.2">
      <c r="A225" s="5">
        <v>44880.655555555553</v>
      </c>
      <c r="B225" t="s">
        <v>1478</v>
      </c>
      <c r="C225" t="s">
        <v>1483</v>
      </c>
    </row>
    <row r="226" spans="1:3" x14ac:dyDescent="0.2">
      <c r="A226" s="5">
        <v>44880.655555555553</v>
      </c>
      <c r="B226" t="s">
        <v>1478</v>
      </c>
      <c r="C226" t="s">
        <v>1484</v>
      </c>
    </row>
    <row r="227" spans="1:3" x14ac:dyDescent="0.2">
      <c r="A227" s="5">
        <v>44880.655555555553</v>
      </c>
      <c r="B227" t="s">
        <v>1478</v>
      </c>
      <c r="C227" t="s">
        <v>1485</v>
      </c>
    </row>
    <row r="228" spans="1:3" x14ac:dyDescent="0.2">
      <c r="A228" s="5">
        <v>44880.655555555553</v>
      </c>
      <c r="B228" t="s">
        <v>1478</v>
      </c>
      <c r="C228" t="s">
        <v>1486</v>
      </c>
    </row>
    <row r="229" spans="1:3" x14ac:dyDescent="0.2">
      <c r="A229" s="5">
        <v>44880.655555555553</v>
      </c>
      <c r="B229" t="s">
        <v>1478</v>
      </c>
      <c r="C229" t="s">
        <v>1487</v>
      </c>
    </row>
    <row r="230" spans="1:3" x14ac:dyDescent="0.2">
      <c r="A230" s="5">
        <v>44880.655555555553</v>
      </c>
      <c r="B230" t="s">
        <v>1478</v>
      </c>
      <c r="C230" t="s">
        <v>1488</v>
      </c>
    </row>
    <row r="231" spans="1:3" x14ac:dyDescent="0.2">
      <c r="A231" s="5">
        <v>44880.655555555553</v>
      </c>
      <c r="B231" t="s">
        <v>1489</v>
      </c>
      <c r="C231" t="s">
        <v>1490</v>
      </c>
    </row>
    <row r="232" spans="1:3" x14ac:dyDescent="0.2">
      <c r="A232" s="5">
        <v>44880.655555555553</v>
      </c>
      <c r="B232" t="s">
        <v>1489</v>
      </c>
      <c r="C232" t="s">
        <v>1491</v>
      </c>
    </row>
    <row r="233" spans="1:3" x14ac:dyDescent="0.2">
      <c r="A233" s="5">
        <v>44880.655555555553</v>
      </c>
      <c r="B233" t="s">
        <v>1489</v>
      </c>
      <c r="C233" t="s">
        <v>1492</v>
      </c>
    </row>
    <row r="234" spans="1:3" x14ac:dyDescent="0.2">
      <c r="A234" s="5">
        <v>44880.655555555553</v>
      </c>
      <c r="B234" t="s">
        <v>1489</v>
      </c>
      <c r="C234" t="s">
        <v>1493</v>
      </c>
    </row>
    <row r="235" spans="1:3" x14ac:dyDescent="0.2">
      <c r="A235" s="5">
        <v>44880.655555555553</v>
      </c>
      <c r="B235" t="s">
        <v>1489</v>
      </c>
      <c r="C235" t="s">
        <v>1494</v>
      </c>
    </row>
    <row r="236" spans="1:3" x14ac:dyDescent="0.2">
      <c r="A236" s="5">
        <v>44880.655555555553</v>
      </c>
      <c r="B236" t="s">
        <v>1489</v>
      </c>
      <c r="C236" t="s">
        <v>1495</v>
      </c>
    </row>
    <row r="237" spans="1:3" x14ac:dyDescent="0.2">
      <c r="A237" s="5">
        <v>44880.655555555553</v>
      </c>
      <c r="B237" t="s">
        <v>1489</v>
      </c>
      <c r="C237" t="s">
        <v>1496</v>
      </c>
    </row>
    <row r="238" spans="1:3" x14ac:dyDescent="0.2">
      <c r="A238" s="5">
        <v>44880.655555555553</v>
      </c>
      <c r="B238" t="s">
        <v>1497</v>
      </c>
      <c r="C238" t="s">
        <v>1498</v>
      </c>
    </row>
    <row r="239" spans="1:3" x14ac:dyDescent="0.2">
      <c r="A239" s="5">
        <v>44880.655555555553</v>
      </c>
      <c r="B239" t="s">
        <v>1497</v>
      </c>
      <c r="C239" t="s">
        <v>1499</v>
      </c>
    </row>
    <row r="240" spans="1:3" x14ac:dyDescent="0.2">
      <c r="A240" s="5">
        <v>44880.655555555553</v>
      </c>
      <c r="B240" t="s">
        <v>1497</v>
      </c>
      <c r="C240" t="s">
        <v>1500</v>
      </c>
    </row>
    <row r="241" spans="1:3" x14ac:dyDescent="0.2">
      <c r="A241" s="5">
        <v>44880.655555555553</v>
      </c>
      <c r="B241" t="s">
        <v>1497</v>
      </c>
      <c r="C241" t="s">
        <v>1501</v>
      </c>
    </row>
    <row r="242" spans="1:3" x14ac:dyDescent="0.2">
      <c r="A242" s="5">
        <v>44880.655555555553</v>
      </c>
      <c r="B242" t="s">
        <v>1502</v>
      </c>
      <c r="C242" t="s">
        <v>1503</v>
      </c>
    </row>
    <row r="243" spans="1:3" x14ac:dyDescent="0.2">
      <c r="A243" s="5">
        <v>44880.655555555553</v>
      </c>
      <c r="B243" t="s">
        <v>1502</v>
      </c>
      <c r="C243" t="s">
        <v>1504</v>
      </c>
    </row>
    <row r="244" spans="1:3" x14ac:dyDescent="0.2">
      <c r="A244" s="5">
        <v>44880.655555555553</v>
      </c>
      <c r="B244" t="s">
        <v>1502</v>
      </c>
      <c r="C244" t="s">
        <v>1505</v>
      </c>
    </row>
    <row r="245" spans="1:3" x14ac:dyDescent="0.2">
      <c r="A245" s="5">
        <v>44880.655555555553</v>
      </c>
      <c r="B245" t="s">
        <v>1502</v>
      </c>
      <c r="C245" t="s">
        <v>1506</v>
      </c>
    </row>
    <row r="246" spans="1:3" x14ac:dyDescent="0.2">
      <c r="A246" s="5">
        <v>44880.655555555553</v>
      </c>
      <c r="B246" t="s">
        <v>1502</v>
      </c>
      <c r="C246" t="s">
        <v>1507</v>
      </c>
    </row>
    <row r="247" spans="1:3" x14ac:dyDescent="0.2">
      <c r="A247" s="5">
        <v>44880.655555555553</v>
      </c>
      <c r="B247" t="s">
        <v>1502</v>
      </c>
      <c r="C247" t="s">
        <v>1508</v>
      </c>
    </row>
    <row r="248" spans="1:3" x14ac:dyDescent="0.2">
      <c r="A248" s="5">
        <v>44880.655555555553</v>
      </c>
      <c r="B248" t="s">
        <v>1502</v>
      </c>
      <c r="C248" t="s">
        <v>1509</v>
      </c>
    </row>
    <row r="249" spans="1:3" x14ac:dyDescent="0.2">
      <c r="A249" s="5">
        <v>44880.655555555553</v>
      </c>
      <c r="B249" t="s">
        <v>1502</v>
      </c>
      <c r="C249" t="s">
        <v>1510</v>
      </c>
    </row>
    <row r="250" spans="1:3" x14ac:dyDescent="0.2">
      <c r="A250" s="5">
        <v>44880.655555555553</v>
      </c>
      <c r="B250" t="s">
        <v>1502</v>
      </c>
      <c r="C250" t="s">
        <v>1511</v>
      </c>
    </row>
    <row r="251" spans="1:3" x14ac:dyDescent="0.2">
      <c r="A251" s="5">
        <v>44880.655555555553</v>
      </c>
      <c r="B251" t="s">
        <v>1512</v>
      </c>
      <c r="C251" t="s">
        <v>1513</v>
      </c>
    </row>
    <row r="252" spans="1:3" x14ac:dyDescent="0.2">
      <c r="A252" s="5">
        <v>44880.655555555553</v>
      </c>
      <c r="B252" t="s">
        <v>1512</v>
      </c>
      <c r="C252" t="s">
        <v>1466</v>
      </c>
    </row>
    <row r="253" spans="1:3" x14ac:dyDescent="0.2">
      <c r="A253" s="5">
        <v>44880.656944444447</v>
      </c>
      <c r="B253" t="s">
        <v>1512</v>
      </c>
      <c r="C253" t="s">
        <v>1514</v>
      </c>
    </row>
    <row r="254" spans="1:3" x14ac:dyDescent="0.2">
      <c r="A254" s="5">
        <v>44880.656944444447</v>
      </c>
      <c r="B254" t="s">
        <v>1512</v>
      </c>
      <c r="C254" t="s">
        <v>1468</v>
      </c>
    </row>
    <row r="255" spans="1:3" x14ac:dyDescent="0.2">
      <c r="A255" s="5">
        <v>44880.658333333333</v>
      </c>
      <c r="B255" t="s">
        <v>1512</v>
      </c>
      <c r="C255" t="s">
        <v>1515</v>
      </c>
    </row>
    <row r="256" spans="1:3" x14ac:dyDescent="0.2">
      <c r="A256" s="5">
        <v>44880.658333333333</v>
      </c>
      <c r="B256" t="s">
        <v>1512</v>
      </c>
      <c r="C256" t="s">
        <v>1516</v>
      </c>
    </row>
    <row r="257" spans="1:3" x14ac:dyDescent="0.2">
      <c r="A257" s="5">
        <v>44880.658333333333</v>
      </c>
      <c r="B257" t="s">
        <v>1517</v>
      </c>
      <c r="C257" t="s">
        <v>1518</v>
      </c>
    </row>
    <row r="258" spans="1:3" x14ac:dyDescent="0.2">
      <c r="A258" s="5">
        <v>44880.658333333333</v>
      </c>
      <c r="B258" t="s">
        <v>1517</v>
      </c>
      <c r="C258" t="s">
        <v>1519</v>
      </c>
    </row>
    <row r="259" spans="1:3" x14ac:dyDescent="0.2">
      <c r="A259" s="5">
        <v>44880.658333333333</v>
      </c>
      <c r="B259" t="s">
        <v>1517</v>
      </c>
      <c r="C259" t="s">
        <v>1520</v>
      </c>
    </row>
    <row r="260" spans="1:3" x14ac:dyDescent="0.2">
      <c r="A260" s="5">
        <v>44880.658333333333</v>
      </c>
      <c r="B260" t="s">
        <v>1517</v>
      </c>
      <c r="C260" t="s">
        <v>1521</v>
      </c>
    </row>
    <row r="261" spans="1:3" x14ac:dyDescent="0.2">
      <c r="A261" s="5">
        <v>44880.658333333333</v>
      </c>
      <c r="B261" t="s">
        <v>1517</v>
      </c>
      <c r="C261" t="s">
        <v>1522</v>
      </c>
    </row>
    <row r="262" spans="1:3" x14ac:dyDescent="0.2">
      <c r="A262" s="5">
        <v>44880.658333333333</v>
      </c>
      <c r="B262" t="s">
        <v>1517</v>
      </c>
      <c r="C262" t="s">
        <v>1523</v>
      </c>
    </row>
    <row r="263" spans="1:3" x14ac:dyDescent="0.2">
      <c r="A263" s="5">
        <v>44880.658333333333</v>
      </c>
      <c r="B263" t="s">
        <v>1517</v>
      </c>
      <c r="C263" t="s">
        <v>1524</v>
      </c>
    </row>
    <row r="264" spans="1:3" x14ac:dyDescent="0.2">
      <c r="A264" s="5">
        <v>44880.658333333333</v>
      </c>
      <c r="B264" t="s">
        <v>1517</v>
      </c>
      <c r="C264" t="s">
        <v>1525</v>
      </c>
    </row>
    <row r="265" spans="1:3" x14ac:dyDescent="0.2">
      <c r="A265" s="5">
        <v>44880.658333333333</v>
      </c>
      <c r="B265" t="s">
        <v>1526</v>
      </c>
      <c r="C265" t="s">
        <v>1527</v>
      </c>
    </row>
    <row r="266" spans="1:3" x14ac:dyDescent="0.2">
      <c r="A266" s="5">
        <v>44880.65902777778</v>
      </c>
      <c r="B266" t="s">
        <v>1526</v>
      </c>
      <c r="C266" t="s">
        <v>1520</v>
      </c>
    </row>
    <row r="267" spans="1:3" x14ac:dyDescent="0.2">
      <c r="A267" s="5">
        <v>44880.65902777778</v>
      </c>
      <c r="B267" t="s">
        <v>1526</v>
      </c>
      <c r="C267" t="s">
        <v>1528</v>
      </c>
    </row>
    <row r="268" spans="1:3" x14ac:dyDescent="0.2">
      <c r="A268" s="5">
        <v>44880.65902777778</v>
      </c>
      <c r="B268" t="s">
        <v>1526</v>
      </c>
      <c r="C268" t="s">
        <v>1529</v>
      </c>
    </row>
    <row r="269" spans="1:3" x14ac:dyDescent="0.2">
      <c r="A269" s="5">
        <v>44880.65902777778</v>
      </c>
      <c r="B269" t="s">
        <v>1526</v>
      </c>
      <c r="C269" t="s">
        <v>1527</v>
      </c>
    </row>
    <row r="270" spans="1:3" x14ac:dyDescent="0.2">
      <c r="A270" s="5">
        <v>44880.65902777778</v>
      </c>
      <c r="B270" t="s">
        <v>1526</v>
      </c>
      <c r="C270" t="s">
        <v>1520</v>
      </c>
    </row>
    <row r="271" spans="1:3" x14ac:dyDescent="0.2">
      <c r="A271" s="5">
        <v>44880.65902777778</v>
      </c>
      <c r="B271" t="s">
        <v>1526</v>
      </c>
      <c r="C271" t="s">
        <v>1528</v>
      </c>
    </row>
    <row r="272" spans="1:3" x14ac:dyDescent="0.2">
      <c r="A272" s="5">
        <v>44880.65902777778</v>
      </c>
      <c r="B272" t="s">
        <v>1526</v>
      </c>
      <c r="C272" t="s">
        <v>1530</v>
      </c>
    </row>
    <row r="273" spans="1:3" x14ac:dyDescent="0.2">
      <c r="A273" s="5">
        <v>44880.65902777778</v>
      </c>
      <c r="B273" t="s">
        <v>1526</v>
      </c>
      <c r="C273" t="s">
        <v>1531</v>
      </c>
    </row>
    <row r="274" spans="1:3" x14ac:dyDescent="0.2">
      <c r="A274" s="5">
        <v>44880.65902777778</v>
      </c>
      <c r="B274" t="s">
        <v>1526</v>
      </c>
      <c r="C274" t="s">
        <v>1532</v>
      </c>
    </row>
    <row r="275" spans="1:3" x14ac:dyDescent="0.2">
      <c r="A275" s="5">
        <v>44880.65902777778</v>
      </c>
      <c r="B275" t="s">
        <v>1533</v>
      </c>
      <c r="C275" t="s">
        <v>1534</v>
      </c>
    </row>
    <row r="276" spans="1:3" x14ac:dyDescent="0.2">
      <c r="A276" s="5">
        <v>44880.65902777778</v>
      </c>
      <c r="B276" t="s">
        <v>1533</v>
      </c>
      <c r="C276" t="s">
        <v>1535</v>
      </c>
    </row>
    <row r="277" spans="1:3" x14ac:dyDescent="0.2">
      <c r="A277" s="5">
        <v>44880.65902777778</v>
      </c>
      <c r="B277" t="s">
        <v>1533</v>
      </c>
      <c r="C277" t="s">
        <v>1536</v>
      </c>
    </row>
    <row r="278" spans="1:3" x14ac:dyDescent="0.2">
      <c r="A278" s="5">
        <v>44880.65902777778</v>
      </c>
      <c r="B278" t="s">
        <v>1533</v>
      </c>
      <c r="C278" t="s">
        <v>1537</v>
      </c>
    </row>
    <row r="279" spans="1:3" x14ac:dyDescent="0.2">
      <c r="A279" s="5">
        <v>44880.65902777778</v>
      </c>
      <c r="B279" t="s">
        <v>1533</v>
      </c>
      <c r="C279" t="s">
        <v>1538</v>
      </c>
    </row>
    <row r="280" spans="1:3" x14ac:dyDescent="0.2">
      <c r="A280" s="5">
        <v>44880.65902777778</v>
      </c>
      <c r="B280" t="s">
        <v>1533</v>
      </c>
      <c r="C280" t="s">
        <v>1539</v>
      </c>
    </row>
    <row r="281" spans="1:3" x14ac:dyDescent="0.2">
      <c r="A281" s="5">
        <v>44880.65902777778</v>
      </c>
      <c r="B281" t="s">
        <v>1533</v>
      </c>
      <c r="C281" t="s">
        <v>1540</v>
      </c>
    </row>
    <row r="282" spans="1:3" x14ac:dyDescent="0.2">
      <c r="A282" s="5">
        <v>44880.65902777778</v>
      </c>
      <c r="B282" t="s">
        <v>1533</v>
      </c>
      <c r="C282" t="s">
        <v>1541</v>
      </c>
    </row>
    <row r="283" spans="1:3" x14ac:dyDescent="0.2">
      <c r="A283" s="5">
        <v>44880.65902777778</v>
      </c>
      <c r="B283" t="s">
        <v>1533</v>
      </c>
      <c r="C283" t="s">
        <v>1542</v>
      </c>
    </row>
    <row r="284" spans="1:3" x14ac:dyDescent="0.2">
      <c r="A284" s="5">
        <v>44880.65902777778</v>
      </c>
      <c r="B284" t="s">
        <v>1533</v>
      </c>
      <c r="C284" t="s">
        <v>1543</v>
      </c>
    </row>
    <row r="285" spans="1:3" x14ac:dyDescent="0.2">
      <c r="A285" s="5">
        <v>44880.65902777778</v>
      </c>
      <c r="B285" t="s">
        <v>1533</v>
      </c>
      <c r="C285" t="s">
        <v>1544</v>
      </c>
    </row>
    <row r="286" spans="1:3" x14ac:dyDescent="0.2">
      <c r="A286" s="5">
        <v>44880.65902777778</v>
      </c>
      <c r="B286" t="s">
        <v>1533</v>
      </c>
      <c r="C286" t="s">
        <v>1545</v>
      </c>
    </row>
    <row r="287" spans="1:3" x14ac:dyDescent="0.2">
      <c r="A287" s="5">
        <v>44880.65902777778</v>
      </c>
      <c r="B287" t="s">
        <v>1533</v>
      </c>
      <c r="C287" t="s">
        <v>1546</v>
      </c>
    </row>
    <row r="288" spans="1:3" x14ac:dyDescent="0.2">
      <c r="A288" s="5">
        <v>44880.65902777778</v>
      </c>
      <c r="B288" t="s">
        <v>1547</v>
      </c>
      <c r="C288" t="s">
        <v>1548</v>
      </c>
    </row>
    <row r="289" spans="1:3" x14ac:dyDescent="0.2">
      <c r="A289" s="5">
        <v>44880.65902777778</v>
      </c>
      <c r="B289" t="s">
        <v>1549</v>
      </c>
      <c r="C289" t="s">
        <v>1550</v>
      </c>
    </row>
    <row r="290" spans="1:3" x14ac:dyDescent="0.2">
      <c r="A290" s="5">
        <v>44880.65902777778</v>
      </c>
      <c r="B290" t="s">
        <v>1549</v>
      </c>
      <c r="C290" t="s">
        <v>1551</v>
      </c>
    </row>
    <row r="291" spans="1:3" x14ac:dyDescent="0.2">
      <c r="A291" s="5">
        <v>44880.65902777778</v>
      </c>
      <c r="B291" t="s">
        <v>1552</v>
      </c>
      <c r="C291" t="s">
        <v>1553</v>
      </c>
    </row>
    <row r="292" spans="1:3" x14ac:dyDescent="0.2">
      <c r="A292" s="5">
        <v>44880.65902777778</v>
      </c>
      <c r="B292" t="s">
        <v>1552</v>
      </c>
      <c r="C292" t="s">
        <v>1554</v>
      </c>
    </row>
    <row r="293" spans="1:3" x14ac:dyDescent="0.2">
      <c r="A293" s="5">
        <v>44880.65902777778</v>
      </c>
      <c r="B293" t="s">
        <v>1552</v>
      </c>
      <c r="C293" t="s">
        <v>1555</v>
      </c>
    </row>
    <row r="294" spans="1:3" x14ac:dyDescent="0.2">
      <c r="A294" s="5">
        <v>44880.65902777778</v>
      </c>
      <c r="B294" t="s">
        <v>1556</v>
      </c>
      <c r="C294" t="s">
        <v>1557</v>
      </c>
    </row>
    <row r="295" spans="1:3" x14ac:dyDescent="0.2">
      <c r="A295" s="5">
        <v>44880.659722222219</v>
      </c>
      <c r="B295" t="s">
        <v>1556</v>
      </c>
      <c r="C295" t="s">
        <v>1558</v>
      </c>
    </row>
    <row r="296" spans="1:3" x14ac:dyDescent="0.2">
      <c r="A296" s="5">
        <v>44880.659722222219</v>
      </c>
      <c r="B296" t="s">
        <v>1179</v>
      </c>
      <c r="C296" t="s">
        <v>1559</v>
      </c>
    </row>
    <row r="297" spans="1:3" x14ac:dyDescent="0.2">
      <c r="A297" s="5">
        <v>44880.659722222219</v>
      </c>
      <c r="B297" t="s">
        <v>1179</v>
      </c>
      <c r="C297" t="s">
        <v>1560</v>
      </c>
    </row>
    <row r="298" spans="1:3" x14ac:dyDescent="0.2">
      <c r="A298" s="5">
        <v>44880.659722222219</v>
      </c>
      <c r="B298" t="s">
        <v>1179</v>
      </c>
      <c r="C298" t="s">
        <v>1561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Proteins &amp; Peptides</vt:lpstr>
      <vt:lpstr>Proteins</vt:lpstr>
      <vt:lpstr>Processing</vt:lpstr>
      <vt:lpstr>Consensus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DM110422_111422_2.pdResult using Thermo Proteome Discoverer 2.5.0.402</dc:description>
  <cp:lastModifiedBy>Darren Mallett</cp:lastModifiedBy>
  <dcterms:modified xsi:type="dcterms:W3CDTF">2023-08-30T20:29:48Z</dcterms:modified>
</cp:coreProperties>
</file>